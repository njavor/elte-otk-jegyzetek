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es\elte-otk-jegyzetek\semesters\25-26-2\OTK-AAI2EG-INF22\"/>
    </mc:Choice>
  </mc:AlternateContent>
  <xr:revisionPtr revIDLastSave="0" documentId="13_ncr:1_{148AF276-CF23-4974-8907-6B87A8245873}" xr6:coauthVersionLast="47" xr6:coauthVersionMax="47" xr10:uidLastSave="{00000000-0000-0000-0000-000000000000}"/>
  <bookViews>
    <workbookView xWindow="-110" yWindow="-110" windowWidth="22780" windowHeight="14540" xr2:uid="{796946CD-12B1-47A3-8724-DA306804559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9" i="1" l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8" i="1"/>
  <c r="J17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8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18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J2" i="1"/>
  <c r="I2" i="1"/>
  <c r="H2" i="1"/>
  <c r="G2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2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9" i="1"/>
  <c r="A20" i="1"/>
  <c r="A21" i="1"/>
  <c r="A23" i="1" s="1"/>
  <c r="A25" i="1" s="1"/>
  <c r="A27" i="1" s="1"/>
  <c r="A29" i="1" s="1"/>
  <c r="A31" i="1" s="1"/>
  <c r="A33" i="1" s="1"/>
  <c r="A22" i="1"/>
  <c r="A24" i="1" s="1"/>
  <c r="A26" i="1" s="1"/>
  <c r="A28" i="1" s="1"/>
  <c r="A30" i="1" s="1"/>
  <c r="A32" i="1" s="1"/>
  <c r="A34" i="1" s="1"/>
</calcChain>
</file>

<file path=xl/sharedStrings.xml><?xml version="1.0" encoding="utf-8"?>
<sst xmlns="http://schemas.openxmlformats.org/spreadsheetml/2006/main" count="11" uniqueCount="10">
  <si>
    <t>n</t>
  </si>
  <si>
    <t>…</t>
  </si>
  <si>
    <t>log(n)</t>
  </si>
  <si>
    <t>n^(1/2)</t>
  </si>
  <si>
    <t>n log(n)</t>
  </si>
  <si>
    <t>n^(3/2)</t>
  </si>
  <si>
    <t>n^2</t>
  </si>
  <si>
    <t>n^3</t>
  </si>
  <si>
    <t>2^n</t>
  </si>
  <si>
    <t>n!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</si>
</sst>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9" formatCode="_-* #,##0_-;\-* #,##0_-;_-* &quot;-&quot;??_-;_-@_-"/>
  </numFmts>
  <fonts count="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4" fontId="0" fillId="0" borderId="0" xfId="0" applyNumberFormat="1"/>
    <xf numFmtId="169" fontId="2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4" fontId="0" fillId="0" borderId="1" xfId="0" applyNumberFormat="1" applyBorder="1"/>
    <xf numFmtId="3" fontId="0" fillId="0" borderId="2" xfId="0" applyNumberFormat="1" applyBorder="1"/>
    <xf numFmtId="4" fontId="0" fillId="0" borderId="2" xfId="0" applyNumberFormat="1" applyBorder="1"/>
    <xf numFmtId="0" fontId="2" fillId="0" borderId="3" xfId="0" applyFont="1" applyBorder="1" applyAlignment="1">
      <alignment horizontal="center"/>
    </xf>
    <xf numFmtId="169" fontId="2" fillId="0" borderId="4" xfId="1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Ezres" xfId="1" builtinId="3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F5DEC-8659-4C5E-8427-360B61B20A5B}">
  <dimension ref="A1:J152"/>
  <sheetViews>
    <sheetView tabSelected="1" workbookViewId="0">
      <selection activeCell="E9" sqref="E9"/>
    </sheetView>
  </sheetViews>
  <sheetFormatPr defaultRowHeight="14.5" x14ac:dyDescent="0.35"/>
  <cols>
    <col min="1" max="1" width="11.453125" style="2" customWidth="1"/>
    <col min="2" max="2" width="8.36328125" style="1" customWidth="1"/>
    <col min="3" max="3" width="15.54296875" style="1" bestFit="1" customWidth="1"/>
    <col min="4" max="10" width="15.54296875" style="1" customWidth="1"/>
    <col min="11" max="16384" width="8.7265625" style="1"/>
  </cols>
  <sheetData>
    <row r="1" spans="1:10" s="3" customFormat="1" x14ac:dyDescent="0.35">
      <c r="A1" s="8" t="s">
        <v>0</v>
      </c>
      <c r="B1" s="9" t="s">
        <v>2</v>
      </c>
      <c r="C1" s="9" t="s">
        <v>3</v>
      </c>
      <c r="D1" s="9" t="s">
        <v>0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7" t="s">
        <v>9</v>
      </c>
    </row>
    <row r="2" spans="1:10" x14ac:dyDescent="0.35">
      <c r="A2" s="2">
        <v>1</v>
      </c>
      <c r="B2" s="4">
        <f>LOG(A2,2)</f>
        <v>0</v>
      </c>
      <c r="C2" s="1">
        <f>A2^(1/2)</f>
        <v>1</v>
      </c>
      <c r="D2" s="5">
        <f>A2</f>
        <v>1</v>
      </c>
      <c r="E2" s="6">
        <f>A2*LOG(A2,2)</f>
        <v>0</v>
      </c>
      <c r="F2" s="6">
        <f>A2^(3/2)</f>
        <v>1</v>
      </c>
      <c r="G2" s="5">
        <f>A2^2</f>
        <v>1</v>
      </c>
      <c r="H2" s="5">
        <f>A2^3</f>
        <v>1</v>
      </c>
      <c r="I2" s="5">
        <f>2^A2</f>
        <v>2</v>
      </c>
      <c r="J2" s="5">
        <f>FACT(A2)</f>
        <v>1</v>
      </c>
    </row>
    <row r="3" spans="1:10" x14ac:dyDescent="0.35">
      <c r="A3" s="2">
        <v>2</v>
      </c>
      <c r="B3" s="4">
        <f t="shared" ref="B3:B17" si="0">LOG(A3,2)</f>
        <v>1</v>
      </c>
      <c r="C3" s="1">
        <f t="shared" ref="C3:C17" si="1">A3^(1/2)</f>
        <v>1.4142135623730951</v>
      </c>
      <c r="D3" s="5">
        <f t="shared" ref="D3:D17" si="2">A3</f>
        <v>2</v>
      </c>
      <c r="E3" s="6">
        <f t="shared" ref="E3:E17" si="3">A3*LOG(A3,2)</f>
        <v>2</v>
      </c>
      <c r="F3" s="6">
        <f t="shared" ref="F3:F17" si="4">A3^(3/2)</f>
        <v>2.8284271247461898</v>
      </c>
      <c r="G3" s="5">
        <f t="shared" ref="G3:G17" si="5">A3^2</f>
        <v>4</v>
      </c>
      <c r="H3" s="5">
        <f t="shared" ref="H3:H17" si="6">A3^3</f>
        <v>8</v>
      </c>
      <c r="I3" s="5">
        <f t="shared" ref="I3:I17" si="7">2^A3</f>
        <v>4</v>
      </c>
      <c r="J3" s="5">
        <f t="shared" ref="J3:J17" si="8">FACT(A3)</f>
        <v>2</v>
      </c>
    </row>
    <row r="4" spans="1:10" x14ac:dyDescent="0.35">
      <c r="A4" s="2">
        <v>3</v>
      </c>
      <c r="B4" s="4">
        <f t="shared" si="0"/>
        <v>1.5849625007211563</v>
      </c>
      <c r="C4" s="1">
        <f t="shared" si="1"/>
        <v>1.7320508075688772</v>
      </c>
      <c r="D4" s="5">
        <f t="shared" si="2"/>
        <v>3</v>
      </c>
      <c r="E4" s="6">
        <f t="shared" si="3"/>
        <v>4.7548875021634691</v>
      </c>
      <c r="F4" s="6">
        <f t="shared" si="4"/>
        <v>5.196152422706632</v>
      </c>
      <c r="G4" s="5">
        <f t="shared" si="5"/>
        <v>9</v>
      </c>
      <c r="H4" s="5">
        <f t="shared" si="6"/>
        <v>27</v>
      </c>
      <c r="I4" s="5">
        <f t="shared" si="7"/>
        <v>8</v>
      </c>
      <c r="J4" s="5">
        <f t="shared" si="8"/>
        <v>6</v>
      </c>
    </row>
    <row r="5" spans="1:10" x14ac:dyDescent="0.35">
      <c r="A5" s="2">
        <v>4</v>
      </c>
      <c r="B5" s="4">
        <f t="shared" si="0"/>
        <v>2</v>
      </c>
      <c r="C5" s="1">
        <f t="shared" si="1"/>
        <v>2</v>
      </c>
      <c r="D5" s="5">
        <f t="shared" si="2"/>
        <v>4</v>
      </c>
      <c r="E5" s="6">
        <f t="shared" si="3"/>
        <v>8</v>
      </c>
      <c r="F5" s="6">
        <f t="shared" si="4"/>
        <v>7.9999999999999982</v>
      </c>
      <c r="G5" s="5">
        <f t="shared" si="5"/>
        <v>16</v>
      </c>
      <c r="H5" s="5">
        <f t="shared" si="6"/>
        <v>64</v>
      </c>
      <c r="I5" s="5">
        <f t="shared" si="7"/>
        <v>16</v>
      </c>
      <c r="J5" s="5">
        <f t="shared" si="8"/>
        <v>24</v>
      </c>
    </row>
    <row r="6" spans="1:10" x14ac:dyDescent="0.35">
      <c r="A6" s="2">
        <v>5</v>
      </c>
      <c r="B6" s="4">
        <f t="shared" si="0"/>
        <v>2.3219280948873622</v>
      </c>
      <c r="C6" s="1">
        <f t="shared" si="1"/>
        <v>2.2360679774997898</v>
      </c>
      <c r="D6" s="5">
        <f t="shared" si="2"/>
        <v>5</v>
      </c>
      <c r="E6" s="6">
        <f t="shared" si="3"/>
        <v>11.60964047443681</v>
      </c>
      <c r="F6" s="6">
        <f t="shared" si="4"/>
        <v>11.180339887498945</v>
      </c>
      <c r="G6" s="5">
        <f t="shared" si="5"/>
        <v>25</v>
      </c>
      <c r="H6" s="5">
        <f t="shared" si="6"/>
        <v>125</v>
      </c>
      <c r="I6" s="5">
        <f t="shared" si="7"/>
        <v>32</v>
      </c>
      <c r="J6" s="5">
        <f t="shared" si="8"/>
        <v>120</v>
      </c>
    </row>
    <row r="7" spans="1:10" x14ac:dyDescent="0.35">
      <c r="A7" s="2">
        <v>6</v>
      </c>
      <c r="B7" s="4">
        <f t="shared" si="0"/>
        <v>2.5849625007211561</v>
      </c>
      <c r="C7" s="1">
        <f t="shared" si="1"/>
        <v>2.4494897427831779</v>
      </c>
      <c r="D7" s="5">
        <f t="shared" si="2"/>
        <v>6</v>
      </c>
      <c r="E7" s="6">
        <f t="shared" si="3"/>
        <v>15.509775004326936</v>
      </c>
      <c r="F7" s="6">
        <f t="shared" si="4"/>
        <v>14.696938456699071</v>
      </c>
      <c r="G7" s="5">
        <f t="shared" si="5"/>
        <v>36</v>
      </c>
      <c r="H7" s="5">
        <f t="shared" si="6"/>
        <v>216</v>
      </c>
      <c r="I7" s="5">
        <f t="shared" si="7"/>
        <v>64</v>
      </c>
      <c r="J7" s="5">
        <f t="shared" si="8"/>
        <v>720</v>
      </c>
    </row>
    <row r="8" spans="1:10" x14ac:dyDescent="0.35">
      <c r="A8" s="2">
        <v>7</v>
      </c>
      <c r="B8" s="4">
        <f t="shared" si="0"/>
        <v>2.8073549220576042</v>
      </c>
      <c r="C8" s="1">
        <f t="shared" si="1"/>
        <v>2.6457513110645907</v>
      </c>
      <c r="D8" s="5">
        <f t="shared" si="2"/>
        <v>7</v>
      </c>
      <c r="E8" s="6">
        <f t="shared" si="3"/>
        <v>19.651484454403228</v>
      </c>
      <c r="F8" s="6">
        <f t="shared" si="4"/>
        <v>18.520259177452129</v>
      </c>
      <c r="G8" s="5">
        <f t="shared" si="5"/>
        <v>49</v>
      </c>
      <c r="H8" s="5">
        <f t="shared" si="6"/>
        <v>343</v>
      </c>
      <c r="I8" s="5">
        <f t="shared" si="7"/>
        <v>128</v>
      </c>
      <c r="J8" s="5">
        <f t="shared" si="8"/>
        <v>5040</v>
      </c>
    </row>
    <row r="9" spans="1:10" x14ac:dyDescent="0.35">
      <c r="A9" s="2">
        <v>8</v>
      </c>
      <c r="B9" s="4">
        <f t="shared" si="0"/>
        <v>3</v>
      </c>
      <c r="C9" s="1">
        <f t="shared" si="1"/>
        <v>2.8284271247461903</v>
      </c>
      <c r="D9" s="5">
        <f t="shared" si="2"/>
        <v>8</v>
      </c>
      <c r="E9" s="6">
        <f t="shared" si="3"/>
        <v>24</v>
      </c>
      <c r="F9" s="6">
        <f t="shared" si="4"/>
        <v>22.627416997969508</v>
      </c>
      <c r="G9" s="5">
        <f t="shared" si="5"/>
        <v>64</v>
      </c>
      <c r="H9" s="5">
        <f t="shared" si="6"/>
        <v>512</v>
      </c>
      <c r="I9" s="5">
        <f t="shared" si="7"/>
        <v>256</v>
      </c>
      <c r="J9" s="5">
        <f t="shared" si="8"/>
        <v>40320</v>
      </c>
    </row>
    <row r="10" spans="1:10" x14ac:dyDescent="0.35">
      <c r="A10" s="2">
        <v>9</v>
      </c>
      <c r="B10" s="4">
        <f t="shared" si="0"/>
        <v>3.1699250014423126</v>
      </c>
      <c r="C10" s="1">
        <f t="shared" si="1"/>
        <v>3</v>
      </c>
      <c r="D10" s="5">
        <f t="shared" si="2"/>
        <v>9</v>
      </c>
      <c r="E10" s="6">
        <f t="shared" si="3"/>
        <v>28.529325012980813</v>
      </c>
      <c r="F10" s="6">
        <f t="shared" si="4"/>
        <v>27</v>
      </c>
      <c r="G10" s="5">
        <f t="shared" si="5"/>
        <v>81</v>
      </c>
      <c r="H10" s="5">
        <f t="shared" si="6"/>
        <v>729</v>
      </c>
      <c r="I10" s="5">
        <f t="shared" si="7"/>
        <v>512</v>
      </c>
      <c r="J10" s="5">
        <f t="shared" si="8"/>
        <v>362880</v>
      </c>
    </row>
    <row r="11" spans="1:10" x14ac:dyDescent="0.35">
      <c r="A11" s="2">
        <v>10</v>
      </c>
      <c r="B11" s="4">
        <f t="shared" si="0"/>
        <v>3.3219280948873626</v>
      </c>
      <c r="C11" s="1">
        <f t="shared" si="1"/>
        <v>3.1622776601683795</v>
      </c>
      <c r="D11" s="5">
        <f t="shared" si="2"/>
        <v>10</v>
      </c>
      <c r="E11" s="6">
        <f t="shared" si="3"/>
        <v>33.219280948873624</v>
      </c>
      <c r="F11" s="6">
        <f t="shared" si="4"/>
        <v>31.622776601683803</v>
      </c>
      <c r="G11" s="5">
        <f t="shared" si="5"/>
        <v>100</v>
      </c>
      <c r="H11" s="5">
        <f t="shared" si="6"/>
        <v>1000</v>
      </c>
      <c r="I11" s="5">
        <f t="shared" si="7"/>
        <v>1024</v>
      </c>
      <c r="J11" s="5">
        <f t="shared" si="8"/>
        <v>3628800</v>
      </c>
    </row>
    <row r="12" spans="1:10" x14ac:dyDescent="0.35">
      <c r="A12" s="2">
        <v>11</v>
      </c>
      <c r="B12" s="4">
        <f t="shared" si="0"/>
        <v>3.4594316186372978</v>
      </c>
      <c r="C12" s="1">
        <f t="shared" si="1"/>
        <v>3.3166247903553998</v>
      </c>
      <c r="D12" s="5">
        <f t="shared" si="2"/>
        <v>11</v>
      </c>
      <c r="E12" s="6">
        <f t="shared" si="3"/>
        <v>38.053747805010275</v>
      </c>
      <c r="F12" s="6">
        <f t="shared" si="4"/>
        <v>36.482872693909407</v>
      </c>
      <c r="G12" s="5">
        <f t="shared" si="5"/>
        <v>121</v>
      </c>
      <c r="H12" s="5">
        <f t="shared" si="6"/>
        <v>1331</v>
      </c>
      <c r="I12" s="5">
        <f t="shared" si="7"/>
        <v>2048</v>
      </c>
      <c r="J12" s="5">
        <f t="shared" si="8"/>
        <v>39916800</v>
      </c>
    </row>
    <row r="13" spans="1:10" x14ac:dyDescent="0.35">
      <c r="A13" s="2">
        <v>12</v>
      </c>
      <c r="B13" s="4">
        <f t="shared" si="0"/>
        <v>3.5849625007211565</v>
      </c>
      <c r="C13" s="1">
        <f t="shared" si="1"/>
        <v>3.4641016151377544</v>
      </c>
      <c r="D13" s="5">
        <f t="shared" si="2"/>
        <v>12</v>
      </c>
      <c r="E13" s="6">
        <f t="shared" si="3"/>
        <v>43.01955000865388</v>
      </c>
      <c r="F13" s="6">
        <f t="shared" si="4"/>
        <v>41.56921938165307</v>
      </c>
      <c r="G13" s="5">
        <f t="shared" si="5"/>
        <v>144</v>
      </c>
      <c r="H13" s="5">
        <f t="shared" si="6"/>
        <v>1728</v>
      </c>
      <c r="I13" s="5">
        <f t="shared" si="7"/>
        <v>4096</v>
      </c>
      <c r="J13" s="5">
        <f t="shared" si="8"/>
        <v>479001600</v>
      </c>
    </row>
    <row r="14" spans="1:10" x14ac:dyDescent="0.35">
      <c r="A14" s="2">
        <v>13</v>
      </c>
      <c r="B14" s="4">
        <f t="shared" si="0"/>
        <v>3.7004397181410922</v>
      </c>
      <c r="C14" s="1">
        <f t="shared" si="1"/>
        <v>3.6055512754639891</v>
      </c>
      <c r="D14" s="5">
        <f t="shared" si="2"/>
        <v>13</v>
      </c>
      <c r="E14" s="6">
        <f t="shared" si="3"/>
        <v>48.105716335834195</v>
      </c>
      <c r="F14" s="6">
        <f t="shared" si="4"/>
        <v>46.87216658103187</v>
      </c>
      <c r="G14" s="5">
        <f t="shared" si="5"/>
        <v>169</v>
      </c>
      <c r="H14" s="5">
        <f t="shared" si="6"/>
        <v>2197</v>
      </c>
      <c r="I14" s="5">
        <f t="shared" si="7"/>
        <v>8192</v>
      </c>
      <c r="J14" s="5">
        <f t="shared" si="8"/>
        <v>6227020800</v>
      </c>
    </row>
    <row r="15" spans="1:10" x14ac:dyDescent="0.35">
      <c r="A15" s="2">
        <v>14</v>
      </c>
      <c r="B15" s="4">
        <f t="shared" si="0"/>
        <v>3.8073549220576037</v>
      </c>
      <c r="C15" s="1">
        <f t="shared" si="1"/>
        <v>3.7416573867739413</v>
      </c>
      <c r="D15" s="5">
        <f t="shared" si="2"/>
        <v>14</v>
      </c>
      <c r="E15" s="6">
        <f t="shared" si="3"/>
        <v>53.302968908806449</v>
      </c>
      <c r="F15" s="6">
        <f t="shared" si="4"/>
        <v>52.383203414835151</v>
      </c>
      <c r="G15" s="5">
        <f t="shared" si="5"/>
        <v>196</v>
      </c>
      <c r="H15" s="5">
        <f t="shared" si="6"/>
        <v>2744</v>
      </c>
      <c r="I15" s="5">
        <f t="shared" si="7"/>
        <v>16384</v>
      </c>
      <c r="J15" s="5">
        <f t="shared" si="8"/>
        <v>87178291200</v>
      </c>
    </row>
    <row r="16" spans="1:10" x14ac:dyDescent="0.35">
      <c r="A16" s="2">
        <v>15</v>
      </c>
      <c r="B16" s="4">
        <f t="shared" si="0"/>
        <v>3.9068905956085187</v>
      </c>
      <c r="C16" s="1">
        <f t="shared" si="1"/>
        <v>3.872983346207417</v>
      </c>
      <c r="D16" s="5">
        <f t="shared" si="2"/>
        <v>15</v>
      </c>
      <c r="E16" s="6">
        <f t="shared" si="3"/>
        <v>58.603358934127783</v>
      </c>
      <c r="F16" s="6">
        <f t="shared" si="4"/>
        <v>58.094750193111238</v>
      </c>
      <c r="G16" s="5">
        <f t="shared" si="5"/>
        <v>225</v>
      </c>
      <c r="H16" s="5">
        <f t="shared" si="6"/>
        <v>3375</v>
      </c>
      <c r="I16" s="5">
        <f t="shared" si="7"/>
        <v>32768</v>
      </c>
      <c r="J16" s="5">
        <f t="shared" si="8"/>
        <v>1307674368000</v>
      </c>
    </row>
    <row r="17" spans="1:10" x14ac:dyDescent="0.35">
      <c r="A17" s="2">
        <v>16</v>
      </c>
      <c r="B17" s="4">
        <f t="shared" si="0"/>
        <v>4</v>
      </c>
      <c r="C17" s="1">
        <f t="shared" si="1"/>
        <v>4</v>
      </c>
      <c r="D17" s="5">
        <f t="shared" si="2"/>
        <v>16</v>
      </c>
      <c r="E17" s="6">
        <f t="shared" si="3"/>
        <v>64</v>
      </c>
      <c r="F17" s="6">
        <f t="shared" si="4"/>
        <v>63.999999999999979</v>
      </c>
      <c r="G17" s="5">
        <f t="shared" si="5"/>
        <v>256</v>
      </c>
      <c r="H17" s="5">
        <f t="shared" si="6"/>
        <v>4096</v>
      </c>
      <c r="I17" s="5">
        <f t="shared" si="7"/>
        <v>65536</v>
      </c>
      <c r="J17" s="5">
        <f>FACT(A17)</f>
        <v>20922789888000</v>
      </c>
    </row>
    <row r="18" spans="1:10" x14ac:dyDescent="0.35">
      <c r="A18" s="2" t="s">
        <v>1</v>
      </c>
      <c r="B18" s="4" t="str">
        <f>IF(A18="…","",LOG(A18,2))</f>
        <v/>
      </c>
      <c r="C18" s="1" t="str">
        <f>IF(A18="…","",A18^(1/2))</f>
        <v/>
      </c>
      <c r="D18" s="5" t="str">
        <f>IF(A18="…","",A18)</f>
        <v/>
      </c>
      <c r="E18" s="6" t="str">
        <f>IF(A18="…","",A18*LOG(A18,2))</f>
        <v/>
      </c>
      <c r="F18" s="6" t="str">
        <f>IF(A18="…","",A18^(3/2))</f>
        <v/>
      </c>
      <c r="G18" s="5" t="str">
        <f>IF(A18="…","",A18^2)</f>
        <v/>
      </c>
      <c r="H18" s="5" t="str">
        <f>IF(A18="…","",A18^3)</f>
        <v/>
      </c>
      <c r="I18" s="5" t="str">
        <f>IF(A18="…","",2^A18)</f>
        <v/>
      </c>
      <c r="J18" s="5" t="str">
        <f>IF(A18="…","",FACT(A18))</f>
        <v/>
      </c>
    </row>
    <row r="19" spans="1:10" x14ac:dyDescent="0.35">
      <c r="A19" s="2">
        <f t="shared" ref="A19:A33" si="9">IF(A17="…","…",A17*2)</f>
        <v>32</v>
      </c>
      <c r="B19" s="4">
        <f t="shared" ref="B19:B82" si="10">IF(A19="…","",LOG(A19,2))</f>
        <v>5</v>
      </c>
      <c r="C19" s="1">
        <f t="shared" ref="C19:C82" si="11">IF(A19="…","",A19^(1/2))</f>
        <v>5.6568542494923806</v>
      </c>
      <c r="D19" s="5">
        <f t="shared" ref="D19:D82" si="12">IF(A19="…","",A19)</f>
        <v>32</v>
      </c>
      <c r="E19" s="6">
        <f t="shared" ref="E19:E82" si="13">IF(A19="…","",A19*LOG(A19,2))</f>
        <v>160</v>
      </c>
      <c r="F19" s="6">
        <f t="shared" ref="F19:F82" si="14">IF(A19="…","",A19^(3/2))</f>
        <v>181.01933598375612</v>
      </c>
      <c r="G19" s="5">
        <f t="shared" ref="G19:G82" si="15">IF(A19="…","",A19^2)</f>
        <v>1024</v>
      </c>
      <c r="H19" s="5">
        <f t="shared" ref="H19:H82" si="16">IF(A19="…","",A19^3)</f>
        <v>32768</v>
      </c>
      <c r="I19" s="5">
        <f t="shared" ref="I19:I82" si="17">IF(A19="…","",2^A19)</f>
        <v>4294967296</v>
      </c>
      <c r="J19" s="5">
        <f t="shared" ref="J19:J82" si="18">IF(A19="…","",FACT(A19))</f>
        <v>2.6313083693369355E+35</v>
      </c>
    </row>
    <row r="20" spans="1:10" x14ac:dyDescent="0.35">
      <c r="A20" s="2" t="str">
        <f t="shared" si="9"/>
        <v>…</v>
      </c>
      <c r="B20" s="4" t="str">
        <f t="shared" si="10"/>
        <v/>
      </c>
      <c r="C20" s="1" t="str">
        <f t="shared" si="11"/>
        <v/>
      </c>
      <c r="D20" s="5" t="str">
        <f t="shared" si="12"/>
        <v/>
      </c>
      <c r="E20" s="6" t="str">
        <f t="shared" si="13"/>
        <v/>
      </c>
      <c r="F20" s="6" t="str">
        <f t="shared" si="14"/>
        <v/>
      </c>
      <c r="G20" s="5" t="str">
        <f t="shared" si="15"/>
        <v/>
      </c>
      <c r="H20" s="5" t="str">
        <f t="shared" si="16"/>
        <v/>
      </c>
      <c r="I20" s="5" t="str">
        <f t="shared" si="17"/>
        <v/>
      </c>
      <c r="J20" s="5" t="str">
        <f t="shared" si="18"/>
        <v/>
      </c>
    </row>
    <row r="21" spans="1:10" x14ac:dyDescent="0.35">
      <c r="A21" s="2">
        <f t="shared" si="9"/>
        <v>64</v>
      </c>
      <c r="B21" s="4">
        <f t="shared" si="10"/>
        <v>6</v>
      </c>
      <c r="C21" s="1">
        <f t="shared" si="11"/>
        <v>8</v>
      </c>
      <c r="D21" s="5">
        <f t="shared" si="12"/>
        <v>64</v>
      </c>
      <c r="E21" s="6">
        <f t="shared" si="13"/>
        <v>384</v>
      </c>
      <c r="F21" s="6">
        <f t="shared" si="14"/>
        <v>511.99999999999949</v>
      </c>
      <c r="G21" s="5">
        <f t="shared" si="15"/>
        <v>4096</v>
      </c>
      <c r="H21" s="5">
        <f t="shared" si="16"/>
        <v>262144</v>
      </c>
      <c r="I21" s="5">
        <f t="shared" si="17"/>
        <v>1.8446744073709552E+19</v>
      </c>
      <c r="J21" s="5">
        <f t="shared" si="18"/>
        <v>1.2688693218588414E+89</v>
      </c>
    </row>
    <row r="22" spans="1:10" x14ac:dyDescent="0.35">
      <c r="A22" s="2" t="str">
        <f t="shared" si="9"/>
        <v>…</v>
      </c>
      <c r="B22" s="4" t="str">
        <f t="shared" si="10"/>
        <v/>
      </c>
      <c r="C22" s="1" t="str">
        <f t="shared" si="11"/>
        <v/>
      </c>
      <c r="D22" s="5" t="str">
        <f t="shared" si="12"/>
        <v/>
      </c>
      <c r="E22" s="6" t="str">
        <f t="shared" si="13"/>
        <v/>
      </c>
      <c r="F22" s="6" t="str">
        <f t="shared" si="14"/>
        <v/>
      </c>
      <c r="G22" s="5" t="str">
        <f t="shared" si="15"/>
        <v/>
      </c>
      <c r="H22" s="5" t="str">
        <f t="shared" si="16"/>
        <v/>
      </c>
      <c r="I22" s="5" t="str">
        <f t="shared" si="17"/>
        <v/>
      </c>
      <c r="J22" s="5" t="str">
        <f t="shared" si="18"/>
        <v/>
      </c>
    </row>
    <row r="23" spans="1:10" x14ac:dyDescent="0.35">
      <c r="A23" s="2">
        <f t="shared" si="9"/>
        <v>128</v>
      </c>
      <c r="B23" s="4">
        <f t="shared" si="10"/>
        <v>7</v>
      </c>
      <c r="C23" s="1">
        <f t="shared" si="11"/>
        <v>11.313708498984761</v>
      </c>
      <c r="D23" s="5">
        <f t="shared" si="12"/>
        <v>128</v>
      </c>
      <c r="E23" s="6">
        <f t="shared" si="13"/>
        <v>896</v>
      </c>
      <c r="F23" s="6">
        <f t="shared" si="14"/>
        <v>1448.1546878700494</v>
      </c>
      <c r="G23" s="5">
        <f t="shared" si="15"/>
        <v>16384</v>
      </c>
      <c r="H23" s="5">
        <f t="shared" si="16"/>
        <v>2097152</v>
      </c>
      <c r="I23" s="5">
        <f t="shared" si="17"/>
        <v>3.4028236692093846E+38</v>
      </c>
      <c r="J23" s="5">
        <f t="shared" si="18"/>
        <v>3.8562048236258079E+215</v>
      </c>
    </row>
    <row r="24" spans="1:10" x14ac:dyDescent="0.35">
      <c r="A24" s="2" t="str">
        <f t="shared" si="9"/>
        <v>…</v>
      </c>
      <c r="B24" s="4" t="str">
        <f t="shared" si="10"/>
        <v/>
      </c>
      <c r="C24" s="1" t="str">
        <f t="shared" si="11"/>
        <v/>
      </c>
      <c r="D24" s="5" t="str">
        <f t="shared" si="12"/>
        <v/>
      </c>
      <c r="E24" s="6" t="str">
        <f t="shared" si="13"/>
        <v/>
      </c>
      <c r="F24" s="6" t="str">
        <f t="shared" si="14"/>
        <v/>
      </c>
      <c r="G24" s="5" t="str">
        <f t="shared" si="15"/>
        <v/>
      </c>
      <c r="H24" s="5" t="str">
        <f t="shared" si="16"/>
        <v/>
      </c>
      <c r="I24" s="5" t="str">
        <f t="shared" si="17"/>
        <v/>
      </c>
      <c r="J24" s="5" t="str">
        <f t="shared" si="18"/>
        <v/>
      </c>
    </row>
    <row r="25" spans="1:10" x14ac:dyDescent="0.35">
      <c r="A25" s="2">
        <f t="shared" si="9"/>
        <v>256</v>
      </c>
      <c r="B25" s="4">
        <f t="shared" si="10"/>
        <v>8</v>
      </c>
      <c r="C25" s="1">
        <f t="shared" si="11"/>
        <v>16</v>
      </c>
      <c r="D25" s="5">
        <f t="shared" si="12"/>
        <v>256</v>
      </c>
      <c r="E25" s="6">
        <f t="shared" si="13"/>
        <v>2048</v>
      </c>
      <c r="F25" s="6">
        <f t="shared" si="14"/>
        <v>4095.9999999999968</v>
      </c>
      <c r="G25" s="5">
        <f t="shared" si="15"/>
        <v>65536</v>
      </c>
      <c r="H25" s="5">
        <f t="shared" si="16"/>
        <v>16777216</v>
      </c>
      <c r="I25" s="5">
        <f t="shared" si="17"/>
        <v>1.157920892373162E+77</v>
      </c>
      <c r="J25" s="5" t="e">
        <f t="shared" si="18"/>
        <v>#NUM!</v>
      </c>
    </row>
    <row r="26" spans="1:10" x14ac:dyDescent="0.35">
      <c r="A26" s="2" t="str">
        <f t="shared" si="9"/>
        <v>…</v>
      </c>
      <c r="B26" s="4" t="str">
        <f t="shared" si="10"/>
        <v/>
      </c>
      <c r="C26" s="1" t="str">
        <f t="shared" si="11"/>
        <v/>
      </c>
      <c r="D26" s="5" t="str">
        <f t="shared" si="12"/>
        <v/>
      </c>
      <c r="E26" s="6" t="str">
        <f t="shared" si="13"/>
        <v/>
      </c>
      <c r="F26" s="6" t="str">
        <f t="shared" si="14"/>
        <v/>
      </c>
      <c r="G26" s="5" t="str">
        <f t="shared" si="15"/>
        <v/>
      </c>
      <c r="H26" s="5" t="str">
        <f t="shared" si="16"/>
        <v/>
      </c>
      <c r="I26" s="5" t="str">
        <f t="shared" si="17"/>
        <v/>
      </c>
      <c r="J26" s="5" t="str">
        <f t="shared" si="18"/>
        <v/>
      </c>
    </row>
    <row r="27" spans="1:10" x14ac:dyDescent="0.35">
      <c r="A27" s="2">
        <f t="shared" si="9"/>
        <v>512</v>
      </c>
      <c r="B27" s="4">
        <f t="shared" si="10"/>
        <v>9</v>
      </c>
      <c r="C27" s="1">
        <f t="shared" si="11"/>
        <v>22.627416997969522</v>
      </c>
      <c r="D27" s="5">
        <f t="shared" si="12"/>
        <v>512</v>
      </c>
      <c r="E27" s="6">
        <f t="shared" si="13"/>
        <v>4608</v>
      </c>
      <c r="F27" s="6">
        <f t="shared" si="14"/>
        <v>11585.237502960397</v>
      </c>
      <c r="G27" s="5">
        <f t="shared" si="15"/>
        <v>262144</v>
      </c>
      <c r="H27" s="5">
        <f t="shared" si="16"/>
        <v>134217728</v>
      </c>
      <c r="I27" s="5">
        <f t="shared" si="17"/>
        <v>1.3407807929942597E+154</v>
      </c>
      <c r="J27" s="5" t="e">
        <f t="shared" si="18"/>
        <v>#NUM!</v>
      </c>
    </row>
    <row r="28" spans="1:10" x14ac:dyDescent="0.35">
      <c r="A28" s="2" t="str">
        <f t="shared" si="9"/>
        <v>…</v>
      </c>
      <c r="B28" s="4" t="str">
        <f t="shared" si="10"/>
        <v/>
      </c>
      <c r="C28" s="1" t="str">
        <f t="shared" si="11"/>
        <v/>
      </c>
      <c r="D28" s="5" t="str">
        <f t="shared" si="12"/>
        <v/>
      </c>
      <c r="E28" s="6" t="str">
        <f t="shared" si="13"/>
        <v/>
      </c>
      <c r="F28" s="6" t="str">
        <f t="shared" si="14"/>
        <v/>
      </c>
      <c r="G28" s="5" t="str">
        <f t="shared" si="15"/>
        <v/>
      </c>
      <c r="H28" s="5" t="str">
        <f t="shared" si="16"/>
        <v/>
      </c>
      <c r="I28" s="5" t="str">
        <f t="shared" si="17"/>
        <v/>
      </c>
      <c r="J28" s="5" t="str">
        <f t="shared" si="18"/>
        <v/>
      </c>
    </row>
    <row r="29" spans="1:10" x14ac:dyDescent="0.35">
      <c r="A29" s="2">
        <f t="shared" si="9"/>
        <v>1024</v>
      </c>
      <c r="B29" s="4">
        <f t="shared" si="10"/>
        <v>10</v>
      </c>
      <c r="C29" s="1">
        <f t="shared" si="11"/>
        <v>32</v>
      </c>
      <c r="D29" s="5">
        <f t="shared" si="12"/>
        <v>1024</v>
      </c>
      <c r="E29" s="6">
        <f t="shared" si="13"/>
        <v>10240</v>
      </c>
      <c r="F29" s="6">
        <f t="shared" si="14"/>
        <v>32767.999999999985</v>
      </c>
      <c r="G29" s="5">
        <f t="shared" si="15"/>
        <v>1048576</v>
      </c>
      <c r="H29" s="5">
        <f t="shared" si="16"/>
        <v>1073741824</v>
      </c>
      <c r="I29" s="5" t="e">
        <f t="shared" si="17"/>
        <v>#NUM!</v>
      </c>
      <c r="J29" s="5" t="e">
        <f t="shared" si="18"/>
        <v>#NUM!</v>
      </c>
    </row>
    <row r="30" spans="1:10" x14ac:dyDescent="0.35">
      <c r="A30" s="2" t="str">
        <f t="shared" si="9"/>
        <v>…</v>
      </c>
      <c r="B30" s="4" t="str">
        <f t="shared" si="10"/>
        <v/>
      </c>
      <c r="C30" s="1" t="str">
        <f t="shared" si="11"/>
        <v/>
      </c>
      <c r="D30" s="5" t="str">
        <f t="shared" si="12"/>
        <v/>
      </c>
      <c r="E30" s="6" t="str">
        <f t="shared" si="13"/>
        <v/>
      </c>
      <c r="F30" s="6" t="str">
        <f t="shared" si="14"/>
        <v/>
      </c>
      <c r="G30" s="5" t="str">
        <f t="shared" si="15"/>
        <v/>
      </c>
      <c r="H30" s="5" t="str">
        <f t="shared" si="16"/>
        <v/>
      </c>
      <c r="I30" s="5" t="str">
        <f t="shared" si="17"/>
        <v/>
      </c>
      <c r="J30" s="5" t="str">
        <f t="shared" si="18"/>
        <v/>
      </c>
    </row>
    <row r="31" spans="1:10" x14ac:dyDescent="0.35">
      <c r="A31" s="2">
        <f t="shared" si="9"/>
        <v>2048</v>
      </c>
      <c r="B31" s="4">
        <f t="shared" si="10"/>
        <v>11</v>
      </c>
      <c r="C31" s="1">
        <f t="shared" si="11"/>
        <v>45.254833995939045</v>
      </c>
      <c r="D31" s="5">
        <f t="shared" si="12"/>
        <v>2048</v>
      </c>
      <c r="E31" s="6">
        <f t="shared" si="13"/>
        <v>22528</v>
      </c>
      <c r="F31" s="6">
        <f t="shared" si="14"/>
        <v>92681.900023683207</v>
      </c>
      <c r="G31" s="5">
        <f t="shared" si="15"/>
        <v>4194304</v>
      </c>
      <c r="H31" s="5">
        <f t="shared" si="16"/>
        <v>8589934592</v>
      </c>
      <c r="I31" s="5" t="e">
        <f t="shared" si="17"/>
        <v>#NUM!</v>
      </c>
      <c r="J31" s="5" t="e">
        <f t="shared" si="18"/>
        <v>#NUM!</v>
      </c>
    </row>
    <row r="32" spans="1:10" x14ac:dyDescent="0.35">
      <c r="A32" s="2" t="str">
        <f t="shared" si="9"/>
        <v>…</v>
      </c>
      <c r="B32" s="4" t="str">
        <f t="shared" si="10"/>
        <v/>
      </c>
      <c r="C32" s="1" t="str">
        <f t="shared" si="11"/>
        <v/>
      </c>
      <c r="D32" s="5" t="str">
        <f t="shared" si="12"/>
        <v/>
      </c>
      <c r="E32" s="6" t="str">
        <f t="shared" si="13"/>
        <v/>
      </c>
      <c r="F32" s="6" t="str">
        <f t="shared" si="14"/>
        <v/>
      </c>
      <c r="G32" s="5" t="str">
        <f t="shared" si="15"/>
        <v/>
      </c>
      <c r="H32" s="5" t="str">
        <f t="shared" si="16"/>
        <v/>
      </c>
      <c r="I32" s="5" t="str">
        <f t="shared" si="17"/>
        <v/>
      </c>
      <c r="J32" s="5" t="str">
        <f t="shared" si="18"/>
        <v/>
      </c>
    </row>
    <row r="33" spans="1:10" x14ac:dyDescent="0.35">
      <c r="A33" s="2">
        <f t="shared" si="9"/>
        <v>4096</v>
      </c>
      <c r="B33" s="4">
        <f t="shared" si="10"/>
        <v>12</v>
      </c>
      <c r="C33" s="1">
        <f t="shared" si="11"/>
        <v>64</v>
      </c>
      <c r="D33" s="5">
        <f t="shared" si="12"/>
        <v>4096</v>
      </c>
      <c r="E33" s="6">
        <f t="shared" si="13"/>
        <v>49152</v>
      </c>
      <c r="F33" s="6">
        <f t="shared" si="14"/>
        <v>262143.99999999948</v>
      </c>
      <c r="G33" s="5">
        <f t="shared" si="15"/>
        <v>16777216</v>
      </c>
      <c r="H33" s="5">
        <f t="shared" si="16"/>
        <v>68719476736</v>
      </c>
      <c r="I33" s="5" t="e">
        <f t="shared" si="17"/>
        <v>#NUM!</v>
      </c>
      <c r="J33" s="5" t="e">
        <f t="shared" si="18"/>
        <v>#NUM!</v>
      </c>
    </row>
    <row r="34" spans="1:10" x14ac:dyDescent="0.35">
      <c r="A34" s="2" t="str">
        <f>IF(A32="…","…",A32*2)</f>
        <v>…</v>
      </c>
      <c r="B34" s="4" t="str">
        <f t="shared" si="10"/>
        <v/>
      </c>
      <c r="C34" s="1" t="str">
        <f t="shared" si="11"/>
        <v/>
      </c>
      <c r="D34" s="5" t="str">
        <f t="shared" si="12"/>
        <v/>
      </c>
      <c r="E34" s="6" t="str">
        <f t="shared" si="13"/>
        <v/>
      </c>
      <c r="F34" s="6" t="str">
        <f t="shared" si="14"/>
        <v/>
      </c>
      <c r="G34" s="5" t="str">
        <f t="shared" si="15"/>
        <v/>
      </c>
      <c r="H34" s="5" t="str">
        <f t="shared" si="16"/>
        <v/>
      </c>
      <c r="I34" s="5" t="str">
        <f t="shared" si="17"/>
        <v/>
      </c>
      <c r="J34" s="5" t="str">
        <f t="shared" si="18"/>
        <v/>
      </c>
    </row>
    <row r="35" spans="1:10" x14ac:dyDescent="0.35">
      <c r="A35" s="2">
        <f t="shared" ref="A35:A98" si="19">IF(A33="…","…",A33*2)</f>
        <v>8192</v>
      </c>
      <c r="B35" s="4">
        <f t="shared" si="10"/>
        <v>13</v>
      </c>
      <c r="C35" s="1">
        <f t="shared" si="11"/>
        <v>90.509667991878089</v>
      </c>
      <c r="D35" s="5">
        <f t="shared" si="12"/>
        <v>8192</v>
      </c>
      <c r="E35" s="6">
        <f t="shared" si="13"/>
        <v>106496</v>
      </c>
      <c r="F35" s="6">
        <f t="shared" si="14"/>
        <v>741455.20018946461</v>
      </c>
      <c r="G35" s="5">
        <f t="shared" si="15"/>
        <v>67108864</v>
      </c>
      <c r="H35" s="5">
        <f t="shared" si="16"/>
        <v>549755813888</v>
      </c>
      <c r="I35" s="5" t="e">
        <f t="shared" si="17"/>
        <v>#NUM!</v>
      </c>
      <c r="J35" s="5" t="e">
        <f t="shared" si="18"/>
        <v>#NUM!</v>
      </c>
    </row>
    <row r="36" spans="1:10" x14ac:dyDescent="0.35">
      <c r="A36" s="2" t="str">
        <f t="shared" si="19"/>
        <v>…</v>
      </c>
      <c r="B36" s="4" t="str">
        <f t="shared" si="10"/>
        <v/>
      </c>
      <c r="C36" s="1" t="str">
        <f t="shared" si="11"/>
        <v/>
      </c>
      <c r="D36" s="5" t="str">
        <f t="shared" si="12"/>
        <v/>
      </c>
      <c r="E36" s="6" t="str">
        <f t="shared" si="13"/>
        <v/>
      </c>
      <c r="F36" s="6" t="str">
        <f t="shared" si="14"/>
        <v/>
      </c>
      <c r="G36" s="5" t="str">
        <f t="shared" si="15"/>
        <v/>
      </c>
      <c r="H36" s="5" t="str">
        <f t="shared" si="16"/>
        <v/>
      </c>
      <c r="I36" s="5" t="str">
        <f t="shared" si="17"/>
        <v/>
      </c>
      <c r="J36" s="5" t="str">
        <f t="shared" si="18"/>
        <v/>
      </c>
    </row>
    <row r="37" spans="1:10" x14ac:dyDescent="0.35">
      <c r="A37" s="2">
        <f t="shared" si="19"/>
        <v>16384</v>
      </c>
      <c r="B37" s="4">
        <f t="shared" si="10"/>
        <v>14</v>
      </c>
      <c r="C37" s="1">
        <f t="shared" si="11"/>
        <v>128</v>
      </c>
      <c r="D37" s="5">
        <f t="shared" si="12"/>
        <v>16384</v>
      </c>
      <c r="E37" s="6">
        <f t="shared" si="13"/>
        <v>229376</v>
      </c>
      <c r="F37" s="6">
        <f t="shared" si="14"/>
        <v>2097152</v>
      </c>
      <c r="G37" s="5">
        <f t="shared" si="15"/>
        <v>268435456</v>
      </c>
      <c r="H37" s="5">
        <f t="shared" si="16"/>
        <v>4398046511104</v>
      </c>
      <c r="I37" s="5" t="e">
        <f t="shared" si="17"/>
        <v>#NUM!</v>
      </c>
      <c r="J37" s="5" t="e">
        <f t="shared" si="18"/>
        <v>#NUM!</v>
      </c>
    </row>
    <row r="38" spans="1:10" x14ac:dyDescent="0.35">
      <c r="A38" s="2" t="str">
        <f t="shared" si="19"/>
        <v>…</v>
      </c>
      <c r="B38" s="4" t="str">
        <f t="shared" si="10"/>
        <v/>
      </c>
      <c r="C38" s="1" t="str">
        <f t="shared" si="11"/>
        <v/>
      </c>
      <c r="D38" s="5" t="str">
        <f t="shared" si="12"/>
        <v/>
      </c>
      <c r="E38" s="6" t="str">
        <f t="shared" si="13"/>
        <v/>
      </c>
      <c r="F38" s="6" t="str">
        <f t="shared" si="14"/>
        <v/>
      </c>
      <c r="G38" s="5" t="str">
        <f t="shared" si="15"/>
        <v/>
      </c>
      <c r="H38" s="5" t="str">
        <f t="shared" si="16"/>
        <v/>
      </c>
      <c r="I38" s="5" t="str">
        <f t="shared" si="17"/>
        <v/>
      </c>
      <c r="J38" s="5" t="str">
        <f t="shared" si="18"/>
        <v/>
      </c>
    </row>
    <row r="39" spans="1:10" x14ac:dyDescent="0.35">
      <c r="A39" s="2">
        <f t="shared" si="19"/>
        <v>32768</v>
      </c>
      <c r="B39" s="4">
        <f t="shared" si="10"/>
        <v>15</v>
      </c>
      <c r="C39" s="1">
        <f t="shared" si="11"/>
        <v>181.01933598375618</v>
      </c>
      <c r="D39" s="5">
        <f t="shared" si="12"/>
        <v>32768</v>
      </c>
      <c r="E39" s="6">
        <f t="shared" si="13"/>
        <v>491520</v>
      </c>
      <c r="F39" s="6">
        <f t="shared" si="14"/>
        <v>5931641.6015157178</v>
      </c>
      <c r="G39" s="5">
        <f t="shared" si="15"/>
        <v>1073741824</v>
      </c>
      <c r="H39" s="5">
        <f t="shared" si="16"/>
        <v>35184372088832</v>
      </c>
      <c r="I39" s="5" t="e">
        <f t="shared" si="17"/>
        <v>#NUM!</v>
      </c>
      <c r="J39" s="5" t="e">
        <f t="shared" si="18"/>
        <v>#NUM!</v>
      </c>
    </row>
    <row r="40" spans="1:10" x14ac:dyDescent="0.35">
      <c r="A40" s="2" t="str">
        <f t="shared" si="19"/>
        <v>…</v>
      </c>
      <c r="B40" s="4" t="str">
        <f t="shared" si="10"/>
        <v/>
      </c>
      <c r="C40" s="1" t="str">
        <f t="shared" si="11"/>
        <v/>
      </c>
      <c r="D40" s="5" t="str">
        <f t="shared" si="12"/>
        <v/>
      </c>
      <c r="E40" s="6" t="str">
        <f t="shared" si="13"/>
        <v/>
      </c>
      <c r="F40" s="6" t="str">
        <f t="shared" si="14"/>
        <v/>
      </c>
      <c r="G40" s="5" t="str">
        <f t="shared" si="15"/>
        <v/>
      </c>
      <c r="H40" s="5" t="str">
        <f t="shared" si="16"/>
        <v/>
      </c>
      <c r="I40" s="5" t="str">
        <f t="shared" si="17"/>
        <v/>
      </c>
      <c r="J40" s="5" t="str">
        <f t="shared" si="18"/>
        <v/>
      </c>
    </row>
    <row r="41" spans="1:10" x14ac:dyDescent="0.35">
      <c r="A41" s="2">
        <f t="shared" si="19"/>
        <v>65536</v>
      </c>
      <c r="B41" s="4">
        <f t="shared" si="10"/>
        <v>16</v>
      </c>
      <c r="C41" s="1">
        <f t="shared" si="11"/>
        <v>256</v>
      </c>
      <c r="D41" s="5">
        <f t="shared" si="12"/>
        <v>65536</v>
      </c>
      <c r="E41" s="6">
        <f t="shared" si="13"/>
        <v>1048576</v>
      </c>
      <c r="F41" s="6">
        <f t="shared" si="14"/>
        <v>16777215.999999976</v>
      </c>
      <c r="G41" s="5">
        <f t="shared" si="15"/>
        <v>4294967296</v>
      </c>
      <c r="H41" s="5">
        <f t="shared" si="16"/>
        <v>281474976710656</v>
      </c>
      <c r="I41" s="5" t="e">
        <f t="shared" si="17"/>
        <v>#NUM!</v>
      </c>
      <c r="J41" s="5" t="e">
        <f t="shared" si="18"/>
        <v>#NUM!</v>
      </c>
    </row>
    <row r="42" spans="1:10" x14ac:dyDescent="0.35">
      <c r="A42" s="2" t="str">
        <f t="shared" si="19"/>
        <v>…</v>
      </c>
      <c r="B42" s="4" t="str">
        <f t="shared" si="10"/>
        <v/>
      </c>
      <c r="C42" s="1" t="str">
        <f t="shared" si="11"/>
        <v/>
      </c>
      <c r="D42" s="5" t="str">
        <f t="shared" si="12"/>
        <v/>
      </c>
      <c r="E42" s="6" t="str">
        <f t="shared" si="13"/>
        <v/>
      </c>
      <c r="F42" s="6" t="str">
        <f t="shared" si="14"/>
        <v/>
      </c>
      <c r="G42" s="5" t="str">
        <f t="shared" si="15"/>
        <v/>
      </c>
      <c r="H42" s="5" t="str">
        <f t="shared" si="16"/>
        <v/>
      </c>
      <c r="I42" s="5" t="str">
        <f t="shared" si="17"/>
        <v/>
      </c>
      <c r="J42" s="5" t="str">
        <f t="shared" si="18"/>
        <v/>
      </c>
    </row>
    <row r="43" spans="1:10" x14ac:dyDescent="0.35">
      <c r="A43" s="2">
        <f t="shared" si="19"/>
        <v>131072</v>
      </c>
      <c r="B43" s="4">
        <f t="shared" si="10"/>
        <v>17</v>
      </c>
      <c r="C43" s="1">
        <f t="shared" si="11"/>
        <v>362.03867196751236</v>
      </c>
      <c r="D43" s="5">
        <f t="shared" si="12"/>
        <v>131072</v>
      </c>
      <c r="E43" s="6">
        <f t="shared" si="13"/>
        <v>2228224</v>
      </c>
      <c r="F43" s="6">
        <f t="shared" si="14"/>
        <v>47453132.812125675</v>
      </c>
      <c r="G43" s="5">
        <f t="shared" si="15"/>
        <v>17179869184</v>
      </c>
      <c r="H43" s="5">
        <f t="shared" si="16"/>
        <v>2251799813685248</v>
      </c>
      <c r="I43" s="5" t="e">
        <f t="shared" si="17"/>
        <v>#NUM!</v>
      </c>
      <c r="J43" s="5" t="e">
        <f t="shared" si="18"/>
        <v>#NUM!</v>
      </c>
    </row>
    <row r="44" spans="1:10" x14ac:dyDescent="0.35">
      <c r="A44" s="2" t="str">
        <f t="shared" si="19"/>
        <v>…</v>
      </c>
      <c r="B44" s="4" t="str">
        <f t="shared" si="10"/>
        <v/>
      </c>
      <c r="C44" s="1" t="str">
        <f t="shared" si="11"/>
        <v/>
      </c>
      <c r="D44" s="5" t="str">
        <f t="shared" si="12"/>
        <v/>
      </c>
      <c r="E44" s="6" t="str">
        <f t="shared" si="13"/>
        <v/>
      </c>
      <c r="F44" s="6" t="str">
        <f t="shared" si="14"/>
        <v/>
      </c>
      <c r="G44" s="5" t="str">
        <f t="shared" si="15"/>
        <v/>
      </c>
      <c r="H44" s="5" t="str">
        <f t="shared" si="16"/>
        <v/>
      </c>
      <c r="I44" s="5" t="str">
        <f t="shared" si="17"/>
        <v/>
      </c>
      <c r="J44" s="5" t="str">
        <f t="shared" si="18"/>
        <v/>
      </c>
    </row>
    <row r="45" spans="1:10" x14ac:dyDescent="0.35">
      <c r="A45" s="2">
        <f t="shared" si="19"/>
        <v>262144</v>
      </c>
      <c r="B45" s="4">
        <f t="shared" si="10"/>
        <v>18</v>
      </c>
      <c r="C45" s="1">
        <f t="shared" si="11"/>
        <v>512</v>
      </c>
      <c r="D45" s="5">
        <f t="shared" si="12"/>
        <v>262144</v>
      </c>
      <c r="E45" s="6">
        <f t="shared" si="13"/>
        <v>4718592</v>
      </c>
      <c r="F45" s="6">
        <f t="shared" si="14"/>
        <v>134217728.00000009</v>
      </c>
      <c r="G45" s="5">
        <f t="shared" si="15"/>
        <v>68719476736</v>
      </c>
      <c r="H45" s="5">
        <f t="shared" si="16"/>
        <v>1.8014398509481984E+16</v>
      </c>
      <c r="I45" s="5" t="e">
        <f t="shared" si="17"/>
        <v>#NUM!</v>
      </c>
      <c r="J45" s="5" t="e">
        <f t="shared" si="18"/>
        <v>#NUM!</v>
      </c>
    </row>
    <row r="46" spans="1:10" x14ac:dyDescent="0.35">
      <c r="A46" s="2" t="str">
        <f t="shared" si="19"/>
        <v>…</v>
      </c>
      <c r="B46" s="4" t="str">
        <f t="shared" si="10"/>
        <v/>
      </c>
      <c r="C46" s="1" t="str">
        <f t="shared" si="11"/>
        <v/>
      </c>
      <c r="D46" s="5" t="str">
        <f t="shared" si="12"/>
        <v/>
      </c>
      <c r="E46" s="6" t="str">
        <f t="shared" si="13"/>
        <v/>
      </c>
      <c r="F46" s="6" t="str">
        <f t="shared" si="14"/>
        <v/>
      </c>
      <c r="G46" s="5" t="str">
        <f t="shared" si="15"/>
        <v/>
      </c>
      <c r="H46" s="5" t="str">
        <f t="shared" si="16"/>
        <v/>
      </c>
      <c r="I46" s="5" t="str">
        <f t="shared" si="17"/>
        <v/>
      </c>
      <c r="J46" s="5" t="str">
        <f t="shared" si="18"/>
        <v/>
      </c>
    </row>
    <row r="47" spans="1:10" x14ac:dyDescent="0.35">
      <c r="A47" s="2">
        <f t="shared" si="19"/>
        <v>524288</v>
      </c>
      <c r="B47" s="4">
        <f t="shared" si="10"/>
        <v>19</v>
      </c>
      <c r="C47" s="1">
        <f t="shared" si="11"/>
        <v>724.07734393502471</v>
      </c>
      <c r="D47" s="5">
        <f t="shared" si="12"/>
        <v>524288</v>
      </c>
      <c r="E47" s="6">
        <f t="shared" si="13"/>
        <v>9961472</v>
      </c>
      <c r="F47" s="6">
        <f t="shared" si="14"/>
        <v>379625062.49700618</v>
      </c>
      <c r="G47" s="5">
        <f t="shared" si="15"/>
        <v>274877906944</v>
      </c>
      <c r="H47" s="5">
        <f t="shared" si="16"/>
        <v>1.4411518807585587E+17</v>
      </c>
      <c r="I47" s="5" t="e">
        <f t="shared" si="17"/>
        <v>#NUM!</v>
      </c>
      <c r="J47" s="5" t="e">
        <f t="shared" si="18"/>
        <v>#NUM!</v>
      </c>
    </row>
    <row r="48" spans="1:10" x14ac:dyDescent="0.35">
      <c r="A48" s="2" t="str">
        <f t="shared" si="19"/>
        <v>…</v>
      </c>
      <c r="B48" s="4" t="str">
        <f t="shared" si="10"/>
        <v/>
      </c>
      <c r="C48" s="1" t="str">
        <f t="shared" si="11"/>
        <v/>
      </c>
      <c r="D48" s="5" t="str">
        <f t="shared" si="12"/>
        <v/>
      </c>
      <c r="E48" s="6" t="str">
        <f t="shared" si="13"/>
        <v/>
      </c>
      <c r="F48" s="6" t="str">
        <f t="shared" si="14"/>
        <v/>
      </c>
      <c r="G48" s="5" t="str">
        <f t="shared" si="15"/>
        <v/>
      </c>
      <c r="H48" s="5" t="str">
        <f t="shared" si="16"/>
        <v/>
      </c>
      <c r="I48" s="5" t="str">
        <f t="shared" si="17"/>
        <v/>
      </c>
      <c r="J48" s="5" t="str">
        <f t="shared" si="18"/>
        <v/>
      </c>
    </row>
    <row r="49" spans="1:10" x14ac:dyDescent="0.35">
      <c r="A49" s="2">
        <f t="shared" si="19"/>
        <v>1048576</v>
      </c>
      <c r="B49" s="4">
        <f t="shared" si="10"/>
        <v>20</v>
      </c>
      <c r="C49" s="1">
        <f t="shared" si="11"/>
        <v>1024</v>
      </c>
      <c r="D49" s="5">
        <f t="shared" si="12"/>
        <v>1048576</v>
      </c>
      <c r="E49" s="6">
        <f t="shared" si="13"/>
        <v>20971520</v>
      </c>
      <c r="F49" s="6">
        <f t="shared" si="14"/>
        <v>1073741823.999999</v>
      </c>
      <c r="G49" s="5">
        <f t="shared" si="15"/>
        <v>1099511627776</v>
      </c>
      <c r="H49" s="5">
        <f t="shared" si="16"/>
        <v>1.152921504606847E+18</v>
      </c>
      <c r="I49" s="5" t="e">
        <f t="shared" si="17"/>
        <v>#NUM!</v>
      </c>
      <c r="J49" s="5" t="e">
        <f t="shared" si="18"/>
        <v>#NUM!</v>
      </c>
    </row>
    <row r="50" spans="1:10" x14ac:dyDescent="0.35">
      <c r="A50" s="2" t="str">
        <f t="shared" si="19"/>
        <v>…</v>
      </c>
      <c r="B50" s="4" t="str">
        <f t="shared" si="10"/>
        <v/>
      </c>
      <c r="C50" s="1" t="str">
        <f t="shared" si="11"/>
        <v/>
      </c>
      <c r="D50" s="5" t="str">
        <f t="shared" si="12"/>
        <v/>
      </c>
      <c r="E50" s="6" t="str">
        <f t="shared" si="13"/>
        <v/>
      </c>
      <c r="F50" s="6" t="str">
        <f t="shared" si="14"/>
        <v/>
      </c>
      <c r="G50" s="5" t="str">
        <f t="shared" si="15"/>
        <v/>
      </c>
      <c r="H50" s="5" t="str">
        <f t="shared" si="16"/>
        <v/>
      </c>
      <c r="I50" s="5" t="str">
        <f t="shared" si="17"/>
        <v/>
      </c>
      <c r="J50" s="5" t="str">
        <f t="shared" si="18"/>
        <v/>
      </c>
    </row>
    <row r="51" spans="1:10" x14ac:dyDescent="0.35">
      <c r="A51" s="2">
        <f t="shared" si="19"/>
        <v>2097152</v>
      </c>
      <c r="B51" s="4">
        <f t="shared" si="10"/>
        <v>21</v>
      </c>
      <c r="C51" s="1">
        <f t="shared" si="11"/>
        <v>1448.1546878700494</v>
      </c>
      <c r="D51" s="5">
        <f t="shared" si="12"/>
        <v>2097152</v>
      </c>
      <c r="E51" s="6">
        <f t="shared" si="13"/>
        <v>44040192</v>
      </c>
      <c r="F51" s="6">
        <f t="shared" si="14"/>
        <v>3037000499.9760556</v>
      </c>
      <c r="G51" s="5">
        <f t="shared" si="15"/>
        <v>4398046511104</v>
      </c>
      <c r="H51" s="5">
        <f t="shared" si="16"/>
        <v>9.2233720368547758E+18</v>
      </c>
      <c r="I51" s="5" t="e">
        <f t="shared" si="17"/>
        <v>#NUM!</v>
      </c>
      <c r="J51" s="5" t="e">
        <f t="shared" si="18"/>
        <v>#NUM!</v>
      </c>
    </row>
    <row r="52" spans="1:10" x14ac:dyDescent="0.35">
      <c r="A52" s="2" t="str">
        <f t="shared" si="19"/>
        <v>…</v>
      </c>
      <c r="B52" s="4" t="str">
        <f t="shared" si="10"/>
        <v/>
      </c>
      <c r="C52" s="1" t="str">
        <f t="shared" si="11"/>
        <v/>
      </c>
      <c r="D52" s="5" t="str">
        <f t="shared" si="12"/>
        <v/>
      </c>
      <c r="E52" s="6" t="str">
        <f t="shared" si="13"/>
        <v/>
      </c>
      <c r="F52" s="6" t="str">
        <f t="shared" si="14"/>
        <v/>
      </c>
      <c r="G52" s="5" t="str">
        <f t="shared" si="15"/>
        <v/>
      </c>
      <c r="H52" s="5" t="str">
        <f t="shared" si="16"/>
        <v/>
      </c>
      <c r="I52" s="5" t="str">
        <f t="shared" si="17"/>
        <v/>
      </c>
      <c r="J52" s="5" t="str">
        <f t="shared" si="18"/>
        <v/>
      </c>
    </row>
    <row r="53" spans="1:10" x14ac:dyDescent="0.35">
      <c r="A53" s="2">
        <f t="shared" si="19"/>
        <v>4194304</v>
      </c>
      <c r="B53" s="4">
        <f t="shared" si="10"/>
        <v>22</v>
      </c>
      <c r="C53" s="1">
        <f t="shared" si="11"/>
        <v>2048</v>
      </c>
      <c r="D53" s="5">
        <f t="shared" si="12"/>
        <v>4194304</v>
      </c>
      <c r="E53" s="6">
        <f t="shared" si="13"/>
        <v>92274688</v>
      </c>
      <c r="F53" s="6">
        <f t="shared" si="14"/>
        <v>8589934592.0000095</v>
      </c>
      <c r="G53" s="5">
        <f t="shared" si="15"/>
        <v>17592186044416</v>
      </c>
      <c r="H53" s="5">
        <f t="shared" si="16"/>
        <v>7.3786976294838206E+19</v>
      </c>
      <c r="I53" s="5" t="e">
        <f t="shared" si="17"/>
        <v>#NUM!</v>
      </c>
      <c r="J53" s="5" t="e">
        <f t="shared" si="18"/>
        <v>#NUM!</v>
      </c>
    </row>
    <row r="54" spans="1:10" x14ac:dyDescent="0.35">
      <c r="A54" s="2" t="str">
        <f t="shared" si="19"/>
        <v>…</v>
      </c>
      <c r="B54" s="4" t="str">
        <f t="shared" si="10"/>
        <v/>
      </c>
      <c r="C54" s="1" t="str">
        <f t="shared" si="11"/>
        <v/>
      </c>
      <c r="D54" s="5" t="str">
        <f t="shared" si="12"/>
        <v/>
      </c>
      <c r="E54" s="6" t="str">
        <f t="shared" si="13"/>
        <v/>
      </c>
      <c r="F54" s="6" t="str">
        <f t="shared" si="14"/>
        <v/>
      </c>
      <c r="G54" s="5" t="str">
        <f t="shared" si="15"/>
        <v/>
      </c>
      <c r="H54" s="5" t="str">
        <f t="shared" si="16"/>
        <v/>
      </c>
      <c r="I54" s="5" t="str">
        <f t="shared" si="17"/>
        <v/>
      </c>
      <c r="J54" s="5" t="str">
        <f t="shared" si="18"/>
        <v/>
      </c>
    </row>
    <row r="55" spans="1:10" x14ac:dyDescent="0.35">
      <c r="A55" s="2">
        <f t="shared" si="19"/>
        <v>8388608</v>
      </c>
      <c r="B55" s="4">
        <f t="shared" si="10"/>
        <v>23</v>
      </c>
      <c r="C55" s="1">
        <f t="shared" si="11"/>
        <v>2896.3093757400989</v>
      </c>
      <c r="D55" s="5">
        <f t="shared" si="12"/>
        <v>8388608</v>
      </c>
      <c r="E55" s="6">
        <f t="shared" si="13"/>
        <v>192937984</v>
      </c>
      <c r="F55" s="6">
        <f t="shared" si="14"/>
        <v>24296003999.808407</v>
      </c>
      <c r="G55" s="5">
        <f t="shared" si="15"/>
        <v>70368744177664</v>
      </c>
      <c r="H55" s="5">
        <f t="shared" si="16"/>
        <v>5.9029581035870565E+20</v>
      </c>
      <c r="I55" s="5" t="e">
        <f t="shared" si="17"/>
        <v>#NUM!</v>
      </c>
      <c r="J55" s="5" t="e">
        <f t="shared" si="18"/>
        <v>#NUM!</v>
      </c>
    </row>
    <row r="56" spans="1:10" x14ac:dyDescent="0.35">
      <c r="A56" s="2" t="str">
        <f t="shared" si="19"/>
        <v>…</v>
      </c>
      <c r="B56" s="4" t="str">
        <f t="shared" si="10"/>
        <v/>
      </c>
      <c r="C56" s="1" t="str">
        <f t="shared" si="11"/>
        <v/>
      </c>
      <c r="D56" s="5" t="str">
        <f t="shared" si="12"/>
        <v/>
      </c>
      <c r="E56" s="6" t="str">
        <f t="shared" si="13"/>
        <v/>
      </c>
      <c r="F56" s="6" t="str">
        <f t="shared" si="14"/>
        <v/>
      </c>
      <c r="G56" s="5" t="str">
        <f t="shared" si="15"/>
        <v/>
      </c>
      <c r="H56" s="5" t="str">
        <f t="shared" si="16"/>
        <v/>
      </c>
      <c r="I56" s="5" t="str">
        <f t="shared" si="17"/>
        <v/>
      </c>
      <c r="J56" s="5" t="str">
        <f t="shared" si="18"/>
        <v/>
      </c>
    </row>
    <row r="57" spans="1:10" x14ac:dyDescent="0.35">
      <c r="A57" s="2">
        <f t="shared" si="19"/>
        <v>16777216</v>
      </c>
      <c r="B57" s="4">
        <f t="shared" si="10"/>
        <v>24</v>
      </c>
      <c r="C57" s="1">
        <f t="shared" si="11"/>
        <v>4096</v>
      </c>
      <c r="D57" s="5">
        <f t="shared" si="12"/>
        <v>16777216</v>
      </c>
      <c r="E57" s="6">
        <f t="shared" si="13"/>
        <v>402653184</v>
      </c>
      <c r="F57" s="6">
        <f t="shared" si="14"/>
        <v>68719476735.999725</v>
      </c>
      <c r="G57" s="5">
        <f t="shared" si="15"/>
        <v>281474976710656</v>
      </c>
      <c r="H57" s="5">
        <f t="shared" si="16"/>
        <v>4.7223664828696452E+21</v>
      </c>
      <c r="I57" s="5" t="e">
        <f t="shared" si="17"/>
        <v>#NUM!</v>
      </c>
      <c r="J57" s="5" t="e">
        <f t="shared" si="18"/>
        <v>#NUM!</v>
      </c>
    </row>
    <row r="58" spans="1:10" x14ac:dyDescent="0.35">
      <c r="A58" s="2" t="str">
        <f t="shared" si="19"/>
        <v>…</v>
      </c>
      <c r="B58" s="4" t="str">
        <f t="shared" si="10"/>
        <v/>
      </c>
      <c r="C58" s="1" t="str">
        <f t="shared" si="11"/>
        <v/>
      </c>
      <c r="D58" s="5" t="str">
        <f t="shared" si="12"/>
        <v/>
      </c>
      <c r="E58" s="6" t="str">
        <f t="shared" si="13"/>
        <v/>
      </c>
      <c r="F58" s="6" t="str">
        <f t="shared" si="14"/>
        <v/>
      </c>
      <c r="G58" s="5" t="str">
        <f t="shared" si="15"/>
        <v/>
      </c>
      <c r="H58" s="5" t="str">
        <f t="shared" si="16"/>
        <v/>
      </c>
      <c r="I58" s="5" t="str">
        <f t="shared" si="17"/>
        <v/>
      </c>
      <c r="J58" s="5" t="str">
        <f t="shared" si="18"/>
        <v/>
      </c>
    </row>
    <row r="59" spans="1:10" x14ac:dyDescent="0.35">
      <c r="A59" s="2">
        <f t="shared" si="19"/>
        <v>33554432</v>
      </c>
      <c r="B59" s="4">
        <f t="shared" si="10"/>
        <v>25</v>
      </c>
      <c r="C59" s="1">
        <f t="shared" si="11"/>
        <v>5792.6187514801977</v>
      </c>
      <c r="D59" s="5">
        <f t="shared" si="12"/>
        <v>33554432</v>
      </c>
      <c r="E59" s="6">
        <f t="shared" si="13"/>
        <v>838860800</v>
      </c>
      <c r="F59" s="6">
        <f t="shared" si="14"/>
        <v>194368031998.46695</v>
      </c>
      <c r="G59" s="5">
        <f t="shared" si="15"/>
        <v>1125899906842624</v>
      </c>
      <c r="H59" s="5">
        <f t="shared" si="16"/>
        <v>3.7778931862957162E+22</v>
      </c>
      <c r="I59" s="5" t="e">
        <f t="shared" si="17"/>
        <v>#NUM!</v>
      </c>
      <c r="J59" s="5" t="e">
        <f t="shared" si="18"/>
        <v>#NUM!</v>
      </c>
    </row>
    <row r="60" spans="1:10" x14ac:dyDescent="0.35">
      <c r="A60" s="2" t="str">
        <f t="shared" si="19"/>
        <v>…</v>
      </c>
      <c r="B60" s="4" t="str">
        <f t="shared" si="10"/>
        <v/>
      </c>
      <c r="C60" s="1" t="str">
        <f t="shared" si="11"/>
        <v/>
      </c>
      <c r="D60" s="5" t="str">
        <f t="shared" si="12"/>
        <v/>
      </c>
      <c r="E60" s="6" t="str">
        <f t="shared" si="13"/>
        <v/>
      </c>
      <c r="F60" s="6" t="str">
        <f t="shared" si="14"/>
        <v/>
      </c>
      <c r="G60" s="5" t="str">
        <f t="shared" si="15"/>
        <v/>
      </c>
      <c r="H60" s="5" t="str">
        <f t="shared" si="16"/>
        <v/>
      </c>
      <c r="I60" s="5" t="str">
        <f t="shared" si="17"/>
        <v/>
      </c>
      <c r="J60" s="5" t="str">
        <f t="shared" si="18"/>
        <v/>
      </c>
    </row>
    <row r="61" spans="1:10" x14ac:dyDescent="0.35">
      <c r="A61" s="2">
        <f t="shared" si="19"/>
        <v>67108864</v>
      </c>
      <c r="B61" s="4">
        <f t="shared" si="10"/>
        <v>26</v>
      </c>
      <c r="C61" s="1">
        <f t="shared" si="11"/>
        <v>8192</v>
      </c>
      <c r="D61" s="5">
        <f t="shared" si="12"/>
        <v>67108864</v>
      </c>
      <c r="E61" s="6">
        <f t="shared" si="13"/>
        <v>1744830464</v>
      </c>
      <c r="F61" s="6">
        <f t="shared" si="14"/>
        <v>549755813887.99896</v>
      </c>
      <c r="G61" s="5">
        <f t="shared" si="15"/>
        <v>4503599627370496</v>
      </c>
      <c r="H61" s="5">
        <f t="shared" si="16"/>
        <v>3.0223145490365729E+23</v>
      </c>
      <c r="I61" s="5" t="e">
        <f t="shared" si="17"/>
        <v>#NUM!</v>
      </c>
      <c r="J61" s="5" t="e">
        <f t="shared" si="18"/>
        <v>#NUM!</v>
      </c>
    </row>
    <row r="62" spans="1:10" x14ac:dyDescent="0.35">
      <c r="A62" s="2" t="str">
        <f t="shared" si="19"/>
        <v>…</v>
      </c>
      <c r="B62" s="4" t="str">
        <f t="shared" si="10"/>
        <v/>
      </c>
      <c r="C62" s="1" t="str">
        <f t="shared" si="11"/>
        <v/>
      </c>
      <c r="D62" s="5" t="str">
        <f t="shared" si="12"/>
        <v/>
      </c>
      <c r="E62" s="6" t="str">
        <f t="shared" si="13"/>
        <v/>
      </c>
      <c r="F62" s="6" t="str">
        <f t="shared" si="14"/>
        <v/>
      </c>
      <c r="G62" s="5" t="str">
        <f t="shared" si="15"/>
        <v/>
      </c>
      <c r="H62" s="5" t="str">
        <f t="shared" si="16"/>
        <v/>
      </c>
      <c r="I62" s="5" t="str">
        <f t="shared" si="17"/>
        <v/>
      </c>
      <c r="J62" s="5" t="str">
        <f t="shared" si="18"/>
        <v/>
      </c>
    </row>
    <row r="63" spans="1:10" x14ac:dyDescent="0.35">
      <c r="A63" s="2">
        <f t="shared" si="19"/>
        <v>134217728</v>
      </c>
      <c r="B63" s="4">
        <f t="shared" si="10"/>
        <v>27</v>
      </c>
      <c r="C63" s="1">
        <f t="shared" si="11"/>
        <v>11585.237502960395</v>
      </c>
      <c r="D63" s="5">
        <f t="shared" si="12"/>
        <v>134217728</v>
      </c>
      <c r="E63" s="6">
        <f t="shared" si="13"/>
        <v>3623878656</v>
      </c>
      <c r="F63" s="6">
        <f t="shared" si="14"/>
        <v>1554944255987.7388</v>
      </c>
      <c r="G63" s="5">
        <f t="shared" si="15"/>
        <v>1.8014398509481984E+16</v>
      </c>
      <c r="H63" s="5">
        <f t="shared" si="16"/>
        <v>2.4178516392292583E+24</v>
      </c>
      <c r="I63" s="5" t="e">
        <f t="shared" si="17"/>
        <v>#NUM!</v>
      </c>
      <c r="J63" s="5" t="e">
        <f t="shared" si="18"/>
        <v>#NUM!</v>
      </c>
    </row>
    <row r="64" spans="1:10" x14ac:dyDescent="0.35">
      <c r="A64" s="2" t="str">
        <f t="shared" si="19"/>
        <v>…</v>
      </c>
      <c r="B64" s="4" t="str">
        <f t="shared" si="10"/>
        <v/>
      </c>
      <c r="C64" s="1" t="str">
        <f t="shared" si="11"/>
        <v/>
      </c>
      <c r="D64" s="5" t="str">
        <f t="shared" si="12"/>
        <v/>
      </c>
      <c r="E64" s="6" t="str">
        <f t="shared" si="13"/>
        <v/>
      </c>
      <c r="F64" s="6" t="str">
        <f t="shared" si="14"/>
        <v/>
      </c>
      <c r="G64" s="5" t="str">
        <f t="shared" si="15"/>
        <v/>
      </c>
      <c r="H64" s="5" t="str">
        <f t="shared" si="16"/>
        <v/>
      </c>
      <c r="I64" s="5" t="str">
        <f t="shared" si="17"/>
        <v/>
      </c>
      <c r="J64" s="5" t="str">
        <f t="shared" si="18"/>
        <v/>
      </c>
    </row>
    <row r="65" spans="1:10" x14ac:dyDescent="0.35">
      <c r="A65" s="2">
        <f t="shared" si="19"/>
        <v>268435456</v>
      </c>
      <c r="B65" s="4">
        <f t="shared" si="10"/>
        <v>28</v>
      </c>
      <c r="C65" s="1">
        <f t="shared" si="11"/>
        <v>16384</v>
      </c>
      <c r="D65" s="5">
        <f t="shared" si="12"/>
        <v>268435456</v>
      </c>
      <c r="E65" s="6">
        <f t="shared" si="13"/>
        <v>7516192768</v>
      </c>
      <c r="F65" s="6">
        <f t="shared" si="14"/>
        <v>4398046511104.001</v>
      </c>
      <c r="G65" s="5">
        <f t="shared" si="15"/>
        <v>7.2057594037927936E+16</v>
      </c>
      <c r="H65" s="5">
        <f t="shared" si="16"/>
        <v>1.9342813113834067E+25</v>
      </c>
      <c r="I65" s="5" t="e">
        <f t="shared" si="17"/>
        <v>#NUM!</v>
      </c>
      <c r="J65" s="5" t="e">
        <f t="shared" si="18"/>
        <v>#NUM!</v>
      </c>
    </row>
    <row r="66" spans="1:10" x14ac:dyDescent="0.35">
      <c r="A66" s="2" t="str">
        <f t="shared" si="19"/>
        <v>…</v>
      </c>
      <c r="B66" s="4" t="str">
        <f t="shared" si="10"/>
        <v/>
      </c>
      <c r="C66" s="1" t="str">
        <f t="shared" si="11"/>
        <v/>
      </c>
      <c r="D66" s="5" t="str">
        <f t="shared" si="12"/>
        <v/>
      </c>
      <c r="E66" s="6" t="str">
        <f t="shared" si="13"/>
        <v/>
      </c>
      <c r="F66" s="6" t="str">
        <f t="shared" si="14"/>
        <v/>
      </c>
      <c r="G66" s="5" t="str">
        <f t="shared" si="15"/>
        <v/>
      </c>
      <c r="H66" s="5" t="str">
        <f t="shared" si="16"/>
        <v/>
      </c>
      <c r="I66" s="5" t="str">
        <f t="shared" si="17"/>
        <v/>
      </c>
      <c r="J66" s="5" t="str">
        <f t="shared" si="18"/>
        <v/>
      </c>
    </row>
    <row r="67" spans="1:10" x14ac:dyDescent="0.35">
      <c r="A67" s="2">
        <f t="shared" si="19"/>
        <v>536870912</v>
      </c>
      <c r="B67" s="4">
        <f t="shared" si="10"/>
        <v>29.000000000000004</v>
      </c>
      <c r="C67" s="1">
        <f t="shared" si="11"/>
        <v>23170.475005920791</v>
      </c>
      <c r="D67" s="5">
        <f t="shared" si="12"/>
        <v>536870912</v>
      </c>
      <c r="E67" s="6">
        <f t="shared" si="13"/>
        <v>15569256448.000002</v>
      </c>
      <c r="F67" s="6">
        <f t="shared" si="14"/>
        <v>12439554047901.936</v>
      </c>
      <c r="G67" s="5">
        <f t="shared" si="15"/>
        <v>2.8823037615171174E+17</v>
      </c>
      <c r="H67" s="5">
        <f t="shared" si="16"/>
        <v>1.5474250491067253E+26</v>
      </c>
      <c r="I67" s="5" t="e">
        <f t="shared" si="17"/>
        <v>#NUM!</v>
      </c>
      <c r="J67" s="5" t="e">
        <f t="shared" si="18"/>
        <v>#NUM!</v>
      </c>
    </row>
    <row r="68" spans="1:10" x14ac:dyDescent="0.35">
      <c r="A68" s="2" t="str">
        <f t="shared" si="19"/>
        <v>…</v>
      </c>
      <c r="B68" s="4" t="str">
        <f t="shared" si="10"/>
        <v/>
      </c>
      <c r="C68" s="1" t="str">
        <f t="shared" si="11"/>
        <v/>
      </c>
      <c r="D68" s="5" t="str">
        <f t="shared" si="12"/>
        <v/>
      </c>
      <c r="E68" s="6" t="str">
        <f t="shared" si="13"/>
        <v/>
      </c>
      <c r="F68" s="6" t="str">
        <f t="shared" si="14"/>
        <v/>
      </c>
      <c r="G68" s="5" t="str">
        <f t="shared" si="15"/>
        <v/>
      </c>
      <c r="H68" s="5" t="str">
        <f t="shared" si="16"/>
        <v/>
      </c>
      <c r="I68" s="5" t="str">
        <f t="shared" si="17"/>
        <v/>
      </c>
      <c r="J68" s="5" t="str">
        <f t="shared" si="18"/>
        <v/>
      </c>
    </row>
    <row r="69" spans="1:10" x14ac:dyDescent="0.35">
      <c r="A69" s="2">
        <f t="shared" si="19"/>
        <v>1073741824</v>
      </c>
      <c r="B69" s="4">
        <f t="shared" si="10"/>
        <v>30</v>
      </c>
      <c r="C69" s="1">
        <f t="shared" si="11"/>
        <v>32768</v>
      </c>
      <c r="D69" s="5">
        <f t="shared" si="12"/>
        <v>1073741824</v>
      </c>
      <c r="E69" s="6">
        <f t="shared" si="13"/>
        <v>32212254720</v>
      </c>
      <c r="F69" s="6">
        <f t="shared" si="14"/>
        <v>35184372088831.953</v>
      </c>
      <c r="G69" s="5">
        <f t="shared" si="15"/>
        <v>1.152921504606847E+18</v>
      </c>
      <c r="H69" s="5">
        <f t="shared" si="16"/>
        <v>1.2379400392853803E+27</v>
      </c>
      <c r="I69" s="5" t="e">
        <f t="shared" si="17"/>
        <v>#NUM!</v>
      </c>
      <c r="J69" s="5" t="e">
        <f t="shared" si="18"/>
        <v>#NUM!</v>
      </c>
    </row>
    <row r="70" spans="1:10" x14ac:dyDescent="0.35">
      <c r="A70" s="2" t="str">
        <f t="shared" si="19"/>
        <v>…</v>
      </c>
      <c r="B70" s="4" t="str">
        <f t="shared" si="10"/>
        <v/>
      </c>
      <c r="C70" s="1" t="str">
        <f t="shared" si="11"/>
        <v/>
      </c>
      <c r="D70" s="5" t="str">
        <f t="shared" si="12"/>
        <v/>
      </c>
      <c r="E70" s="6" t="str">
        <f t="shared" si="13"/>
        <v/>
      </c>
      <c r="F70" s="6" t="str">
        <f t="shared" si="14"/>
        <v/>
      </c>
      <c r="G70" s="5" t="str">
        <f t="shared" si="15"/>
        <v/>
      </c>
      <c r="H70" s="5" t="str">
        <f t="shared" si="16"/>
        <v/>
      </c>
      <c r="I70" s="5" t="str">
        <f t="shared" si="17"/>
        <v/>
      </c>
      <c r="J70" s="5" t="str">
        <f t="shared" si="18"/>
        <v/>
      </c>
    </row>
    <row r="71" spans="1:10" x14ac:dyDescent="0.35">
      <c r="A71" s="2">
        <f t="shared" si="19"/>
        <v>2147483648</v>
      </c>
      <c r="B71" s="4">
        <f t="shared" si="10"/>
        <v>31.000000000000004</v>
      </c>
      <c r="C71" s="1">
        <f t="shared" si="11"/>
        <v>46340.950011841582</v>
      </c>
      <c r="D71" s="5">
        <f t="shared" si="12"/>
        <v>2147483648</v>
      </c>
      <c r="E71" s="6">
        <f t="shared" si="13"/>
        <v>66571993088.000008</v>
      </c>
      <c r="F71" s="6">
        <f t="shared" si="14"/>
        <v>99516432383215.344</v>
      </c>
      <c r="G71" s="5">
        <f t="shared" si="15"/>
        <v>4.6116860184273879E+18</v>
      </c>
      <c r="H71" s="5">
        <f t="shared" si="16"/>
        <v>9.9035203142830422E+27</v>
      </c>
      <c r="I71" s="5" t="e">
        <f t="shared" si="17"/>
        <v>#NUM!</v>
      </c>
      <c r="J71" s="5" t="e">
        <f t="shared" si="18"/>
        <v>#NUM!</v>
      </c>
    </row>
    <row r="72" spans="1:10" x14ac:dyDescent="0.35">
      <c r="A72" s="2" t="str">
        <f t="shared" si="19"/>
        <v>…</v>
      </c>
      <c r="B72" s="4" t="str">
        <f t="shared" si="10"/>
        <v/>
      </c>
      <c r="C72" s="1" t="str">
        <f t="shared" si="11"/>
        <v/>
      </c>
      <c r="D72" s="5" t="str">
        <f t="shared" si="12"/>
        <v/>
      </c>
      <c r="E72" s="6" t="str">
        <f t="shared" si="13"/>
        <v/>
      </c>
      <c r="F72" s="6" t="str">
        <f t="shared" si="14"/>
        <v/>
      </c>
      <c r="G72" s="5" t="str">
        <f t="shared" si="15"/>
        <v/>
      </c>
      <c r="H72" s="5" t="str">
        <f t="shared" si="16"/>
        <v/>
      </c>
      <c r="I72" s="5" t="str">
        <f t="shared" si="17"/>
        <v/>
      </c>
      <c r="J72" s="5" t="str">
        <f t="shared" si="18"/>
        <v/>
      </c>
    </row>
    <row r="73" spans="1:10" x14ac:dyDescent="0.35">
      <c r="A73" s="2">
        <f t="shared" si="19"/>
        <v>4294967296</v>
      </c>
      <c r="B73" s="4">
        <f t="shared" si="10"/>
        <v>32</v>
      </c>
      <c r="C73" s="1">
        <f t="shared" si="11"/>
        <v>65536</v>
      </c>
      <c r="D73" s="5">
        <f t="shared" si="12"/>
        <v>4294967296</v>
      </c>
      <c r="E73" s="6">
        <f t="shared" si="13"/>
        <v>137438953472</v>
      </c>
      <c r="F73" s="6">
        <f t="shared" si="14"/>
        <v>281474976710655.19</v>
      </c>
      <c r="G73" s="5">
        <f t="shared" si="15"/>
        <v>1.8446744073709552E+19</v>
      </c>
      <c r="H73" s="5">
        <f t="shared" si="16"/>
        <v>7.9228162514264338E+28</v>
      </c>
      <c r="I73" s="5" t="e">
        <f t="shared" si="17"/>
        <v>#NUM!</v>
      </c>
      <c r="J73" s="5" t="e">
        <f t="shared" si="18"/>
        <v>#NUM!</v>
      </c>
    </row>
    <row r="74" spans="1:10" x14ac:dyDescent="0.35">
      <c r="A74" s="2" t="str">
        <f t="shared" si="19"/>
        <v>…</v>
      </c>
      <c r="B74" s="4" t="str">
        <f t="shared" si="10"/>
        <v/>
      </c>
      <c r="C74" s="1" t="str">
        <f t="shared" si="11"/>
        <v/>
      </c>
      <c r="D74" s="5" t="str">
        <f t="shared" si="12"/>
        <v/>
      </c>
      <c r="E74" s="6" t="str">
        <f t="shared" si="13"/>
        <v/>
      </c>
      <c r="F74" s="6" t="str">
        <f t="shared" si="14"/>
        <v/>
      </c>
      <c r="G74" s="5" t="str">
        <f t="shared" si="15"/>
        <v/>
      </c>
      <c r="H74" s="5" t="str">
        <f t="shared" si="16"/>
        <v/>
      </c>
      <c r="I74" s="5" t="str">
        <f t="shared" si="17"/>
        <v/>
      </c>
      <c r="J74" s="5" t="str">
        <f t="shared" si="18"/>
        <v/>
      </c>
    </row>
    <row r="75" spans="1:10" x14ac:dyDescent="0.35">
      <c r="A75" s="2">
        <f t="shared" si="19"/>
        <v>8589934592</v>
      </c>
      <c r="B75" s="4">
        <f t="shared" si="10"/>
        <v>33</v>
      </c>
      <c r="C75" s="1">
        <f t="shared" si="11"/>
        <v>92681.900023683163</v>
      </c>
      <c r="D75" s="5">
        <f t="shared" si="12"/>
        <v>8589934592</v>
      </c>
      <c r="E75" s="6">
        <f t="shared" si="13"/>
        <v>283467841536</v>
      </c>
      <c r="F75" s="6">
        <f t="shared" si="14"/>
        <v>796131459065721.5</v>
      </c>
      <c r="G75" s="5">
        <f t="shared" si="15"/>
        <v>7.3786976294838206E+19</v>
      </c>
      <c r="H75" s="5">
        <f t="shared" si="16"/>
        <v>6.338253001141147E+29</v>
      </c>
      <c r="I75" s="5" t="e">
        <f t="shared" si="17"/>
        <v>#NUM!</v>
      </c>
      <c r="J75" s="5" t="e">
        <f t="shared" si="18"/>
        <v>#NUM!</v>
      </c>
    </row>
    <row r="76" spans="1:10" x14ac:dyDescent="0.35">
      <c r="A76" s="2" t="str">
        <f t="shared" si="19"/>
        <v>…</v>
      </c>
      <c r="B76" s="4" t="str">
        <f t="shared" si="10"/>
        <v/>
      </c>
      <c r="C76" s="1" t="str">
        <f t="shared" si="11"/>
        <v/>
      </c>
      <c r="D76" s="5" t="str">
        <f t="shared" si="12"/>
        <v/>
      </c>
      <c r="E76" s="6" t="str">
        <f t="shared" si="13"/>
        <v/>
      </c>
      <c r="F76" s="6" t="str">
        <f t="shared" si="14"/>
        <v/>
      </c>
      <c r="G76" s="5" t="str">
        <f t="shared" si="15"/>
        <v/>
      </c>
      <c r="H76" s="5" t="str">
        <f t="shared" si="16"/>
        <v/>
      </c>
      <c r="I76" s="5" t="str">
        <f t="shared" si="17"/>
        <v/>
      </c>
      <c r="J76" s="5" t="str">
        <f t="shared" si="18"/>
        <v/>
      </c>
    </row>
    <row r="77" spans="1:10" x14ac:dyDescent="0.35">
      <c r="A77" s="2">
        <f t="shared" si="19"/>
        <v>17179869184</v>
      </c>
      <c r="B77" s="4">
        <f t="shared" si="10"/>
        <v>34</v>
      </c>
      <c r="C77" s="1">
        <f t="shared" si="11"/>
        <v>131072</v>
      </c>
      <c r="D77" s="5">
        <f t="shared" si="12"/>
        <v>17179869184</v>
      </c>
      <c r="E77" s="6">
        <f t="shared" si="13"/>
        <v>584115552256</v>
      </c>
      <c r="F77" s="6">
        <f t="shared" si="14"/>
        <v>2251799813685238</v>
      </c>
      <c r="G77" s="5">
        <f t="shared" si="15"/>
        <v>2.9514790517935283E+20</v>
      </c>
      <c r="H77" s="5">
        <f t="shared" si="16"/>
        <v>5.0706024009129176E+30</v>
      </c>
      <c r="I77" s="5" t="e">
        <f t="shared" si="17"/>
        <v>#NUM!</v>
      </c>
      <c r="J77" s="5" t="e">
        <f t="shared" si="18"/>
        <v>#NUM!</v>
      </c>
    </row>
    <row r="78" spans="1:10" x14ac:dyDescent="0.35">
      <c r="A78" s="2" t="str">
        <f t="shared" si="19"/>
        <v>…</v>
      </c>
      <c r="B78" s="4" t="str">
        <f t="shared" si="10"/>
        <v/>
      </c>
      <c r="C78" s="1" t="str">
        <f t="shared" si="11"/>
        <v/>
      </c>
      <c r="D78" s="5" t="str">
        <f t="shared" si="12"/>
        <v/>
      </c>
      <c r="E78" s="6" t="str">
        <f t="shared" si="13"/>
        <v/>
      </c>
      <c r="F78" s="6" t="str">
        <f t="shared" si="14"/>
        <v/>
      </c>
      <c r="G78" s="5" t="str">
        <f t="shared" si="15"/>
        <v/>
      </c>
      <c r="H78" s="5" t="str">
        <f t="shared" si="16"/>
        <v/>
      </c>
      <c r="I78" s="5" t="str">
        <f t="shared" si="17"/>
        <v/>
      </c>
      <c r="J78" s="5" t="str">
        <f t="shared" si="18"/>
        <v/>
      </c>
    </row>
    <row r="79" spans="1:10" x14ac:dyDescent="0.35">
      <c r="A79" s="2">
        <f t="shared" si="19"/>
        <v>34359738368</v>
      </c>
      <c r="B79" s="4">
        <f t="shared" si="10"/>
        <v>35</v>
      </c>
      <c r="C79" s="1">
        <f t="shared" si="11"/>
        <v>185363.80004736633</v>
      </c>
      <c r="D79" s="5">
        <f t="shared" si="12"/>
        <v>34359738368</v>
      </c>
      <c r="E79" s="6">
        <f t="shared" si="13"/>
        <v>1202590842880</v>
      </c>
      <c r="F79" s="6">
        <f t="shared" si="14"/>
        <v>6369051672525762</v>
      </c>
      <c r="G79" s="5">
        <f t="shared" si="15"/>
        <v>1.1805916207174113E+21</v>
      </c>
      <c r="H79" s="5">
        <f t="shared" si="16"/>
        <v>4.0564819207303341E+31</v>
      </c>
      <c r="I79" s="5" t="e">
        <f t="shared" si="17"/>
        <v>#NUM!</v>
      </c>
      <c r="J79" s="5" t="e">
        <f t="shared" si="18"/>
        <v>#NUM!</v>
      </c>
    </row>
    <row r="80" spans="1:10" x14ac:dyDescent="0.35">
      <c r="A80" s="2" t="str">
        <f t="shared" si="19"/>
        <v>…</v>
      </c>
      <c r="B80" s="4" t="str">
        <f t="shared" si="10"/>
        <v/>
      </c>
      <c r="C80" s="1" t="str">
        <f t="shared" si="11"/>
        <v/>
      </c>
      <c r="D80" s="5" t="str">
        <f t="shared" si="12"/>
        <v/>
      </c>
      <c r="E80" s="6" t="str">
        <f t="shared" si="13"/>
        <v/>
      </c>
      <c r="F80" s="6" t="str">
        <f t="shared" si="14"/>
        <v/>
      </c>
      <c r="G80" s="5" t="str">
        <f t="shared" si="15"/>
        <v/>
      </c>
      <c r="H80" s="5" t="str">
        <f t="shared" si="16"/>
        <v/>
      </c>
      <c r="I80" s="5" t="str">
        <f t="shared" si="17"/>
        <v/>
      </c>
      <c r="J80" s="5" t="str">
        <f t="shared" si="18"/>
        <v/>
      </c>
    </row>
    <row r="81" spans="1:10" x14ac:dyDescent="0.35">
      <c r="A81" s="2">
        <f t="shared" si="19"/>
        <v>68719476736</v>
      </c>
      <c r="B81" s="4">
        <f t="shared" si="10"/>
        <v>36</v>
      </c>
      <c r="C81" s="1">
        <f t="shared" si="11"/>
        <v>262144</v>
      </c>
      <c r="D81" s="5">
        <f t="shared" si="12"/>
        <v>68719476736</v>
      </c>
      <c r="E81" s="6">
        <f t="shared" si="13"/>
        <v>2473901162496</v>
      </c>
      <c r="F81" s="6">
        <f t="shared" si="14"/>
        <v>1.8014398509482004E+16</v>
      </c>
      <c r="G81" s="5">
        <f t="shared" si="15"/>
        <v>4.7223664828696452E+21</v>
      </c>
      <c r="H81" s="5">
        <f t="shared" si="16"/>
        <v>3.2451855365842673E+32</v>
      </c>
      <c r="I81" s="5" t="e">
        <f t="shared" si="17"/>
        <v>#NUM!</v>
      </c>
      <c r="J81" s="5" t="e">
        <f t="shared" si="18"/>
        <v>#NUM!</v>
      </c>
    </row>
    <row r="82" spans="1:10" x14ac:dyDescent="0.35">
      <c r="A82" s="2" t="str">
        <f t="shared" si="19"/>
        <v>…</v>
      </c>
      <c r="B82" s="4" t="str">
        <f t="shared" si="10"/>
        <v/>
      </c>
      <c r="C82" s="1" t="str">
        <f t="shared" si="11"/>
        <v/>
      </c>
      <c r="D82" s="5" t="str">
        <f t="shared" si="12"/>
        <v/>
      </c>
      <c r="E82" s="6" t="str">
        <f t="shared" si="13"/>
        <v/>
      </c>
      <c r="F82" s="6" t="str">
        <f t="shared" si="14"/>
        <v/>
      </c>
      <c r="G82" s="5" t="str">
        <f t="shared" si="15"/>
        <v/>
      </c>
      <c r="H82" s="5" t="str">
        <f t="shared" si="16"/>
        <v/>
      </c>
      <c r="I82" s="5" t="str">
        <f t="shared" si="17"/>
        <v/>
      </c>
      <c r="J82" s="5" t="str">
        <f t="shared" si="18"/>
        <v/>
      </c>
    </row>
    <row r="83" spans="1:10" x14ac:dyDescent="0.35">
      <c r="A83" s="2">
        <f t="shared" si="19"/>
        <v>137438953472</v>
      </c>
      <c r="B83" s="4">
        <f t="shared" ref="B83:B146" si="20">IF(A83="…","",LOG(A83,2))</f>
        <v>37</v>
      </c>
      <c r="C83" s="1">
        <f t="shared" ref="C83:C146" si="21">IF(A83="…","",A83^(1/2))</f>
        <v>370727.60009473265</v>
      </c>
      <c r="D83" s="5">
        <f t="shared" ref="D83:D146" si="22">IF(A83="…","",A83)</f>
        <v>137438953472</v>
      </c>
      <c r="E83" s="6">
        <f t="shared" ref="E83:E146" si="23">IF(A83="…","",A83*LOG(A83,2))</f>
        <v>5085241278464</v>
      </c>
      <c r="F83" s="6">
        <f t="shared" ref="F83:F146" si="24">IF(A83="…","",A83^(3/2))</f>
        <v>5.0952413380206384E+16</v>
      </c>
      <c r="G83" s="5">
        <f t="shared" ref="G83:G146" si="25">IF(A83="…","",A83^2)</f>
        <v>1.8889465931478581E+22</v>
      </c>
      <c r="H83" s="5">
        <f t="shared" ref="H83:H146" si="26">IF(A83="…","",A83^3)</f>
        <v>2.5961484292674138E+33</v>
      </c>
      <c r="I83" s="5" t="e">
        <f t="shared" ref="I83:I146" si="27">IF(A83="…","",2^A83)</f>
        <v>#NUM!</v>
      </c>
      <c r="J83" s="5" t="e">
        <f t="shared" ref="J83:J146" si="28">IF(A83="…","",FACT(A83))</f>
        <v>#NUM!</v>
      </c>
    </row>
    <row r="84" spans="1:10" x14ac:dyDescent="0.35">
      <c r="A84" s="2" t="str">
        <f t="shared" si="19"/>
        <v>…</v>
      </c>
      <c r="B84" s="4" t="str">
        <f t="shared" si="20"/>
        <v/>
      </c>
      <c r="C84" s="1" t="str">
        <f t="shared" si="21"/>
        <v/>
      </c>
      <c r="D84" s="5" t="str">
        <f t="shared" si="22"/>
        <v/>
      </c>
      <c r="E84" s="6" t="str">
        <f t="shared" si="23"/>
        <v/>
      </c>
      <c r="F84" s="6" t="str">
        <f t="shared" si="24"/>
        <v/>
      </c>
      <c r="G84" s="5" t="str">
        <f t="shared" si="25"/>
        <v/>
      </c>
      <c r="H84" s="5" t="str">
        <f t="shared" si="26"/>
        <v/>
      </c>
      <c r="I84" s="5" t="str">
        <f t="shared" si="27"/>
        <v/>
      </c>
      <c r="J84" s="5" t="str">
        <f t="shared" si="28"/>
        <v/>
      </c>
    </row>
    <row r="85" spans="1:10" x14ac:dyDescent="0.35">
      <c r="A85" s="2">
        <f t="shared" si="19"/>
        <v>274877906944</v>
      </c>
      <c r="B85" s="4">
        <f t="shared" si="20"/>
        <v>38</v>
      </c>
      <c r="C85" s="1">
        <f t="shared" si="21"/>
        <v>524288</v>
      </c>
      <c r="D85" s="5">
        <f t="shared" si="22"/>
        <v>274877906944</v>
      </c>
      <c r="E85" s="6">
        <f t="shared" si="23"/>
        <v>10445360463872</v>
      </c>
      <c r="F85" s="6">
        <f t="shared" si="24"/>
        <v>1.4411518807585582E+17</v>
      </c>
      <c r="G85" s="5">
        <f t="shared" si="25"/>
        <v>7.5557863725914323E+22</v>
      </c>
      <c r="H85" s="5">
        <f t="shared" si="26"/>
        <v>2.0769187434139311E+34</v>
      </c>
      <c r="I85" s="5" t="e">
        <f t="shared" si="27"/>
        <v>#NUM!</v>
      </c>
      <c r="J85" s="5" t="e">
        <f t="shared" si="28"/>
        <v>#NUM!</v>
      </c>
    </row>
    <row r="86" spans="1:10" x14ac:dyDescent="0.35">
      <c r="A86" s="2" t="str">
        <f t="shared" si="19"/>
        <v>…</v>
      </c>
      <c r="B86" s="4" t="str">
        <f t="shared" si="20"/>
        <v/>
      </c>
      <c r="C86" s="1" t="str">
        <f t="shared" si="21"/>
        <v/>
      </c>
      <c r="D86" s="5" t="str">
        <f t="shared" si="22"/>
        <v/>
      </c>
      <c r="E86" s="6" t="str">
        <f t="shared" si="23"/>
        <v/>
      </c>
      <c r="F86" s="6" t="str">
        <f t="shared" si="24"/>
        <v/>
      </c>
      <c r="G86" s="5" t="str">
        <f t="shared" si="25"/>
        <v/>
      </c>
      <c r="H86" s="5" t="str">
        <f t="shared" si="26"/>
        <v/>
      </c>
      <c r="I86" s="5" t="str">
        <f t="shared" si="27"/>
        <v/>
      </c>
      <c r="J86" s="5" t="str">
        <f t="shared" si="28"/>
        <v/>
      </c>
    </row>
    <row r="87" spans="1:10" x14ac:dyDescent="0.35">
      <c r="A87" s="2">
        <f t="shared" si="19"/>
        <v>549755813888</v>
      </c>
      <c r="B87" s="4">
        <f t="shared" si="20"/>
        <v>39.000000000000007</v>
      </c>
      <c r="C87" s="1">
        <f t="shared" si="21"/>
        <v>741455.20018946531</v>
      </c>
      <c r="D87" s="5">
        <f t="shared" si="22"/>
        <v>549755813888</v>
      </c>
      <c r="E87" s="6">
        <f t="shared" si="23"/>
        <v>21440476741632.004</v>
      </c>
      <c r="F87" s="6">
        <f t="shared" si="24"/>
        <v>4.0761930704165043E+17</v>
      </c>
      <c r="G87" s="5">
        <f t="shared" si="25"/>
        <v>3.0223145490365729E+23</v>
      </c>
      <c r="H87" s="5">
        <f t="shared" si="26"/>
        <v>1.6615349947311448E+35</v>
      </c>
      <c r="I87" s="5" t="e">
        <f t="shared" si="27"/>
        <v>#NUM!</v>
      </c>
      <c r="J87" s="5" t="e">
        <f t="shared" si="28"/>
        <v>#NUM!</v>
      </c>
    </row>
    <row r="88" spans="1:10" x14ac:dyDescent="0.35">
      <c r="A88" s="2" t="str">
        <f t="shared" si="19"/>
        <v>…</v>
      </c>
      <c r="B88" s="4" t="str">
        <f t="shared" si="20"/>
        <v/>
      </c>
      <c r="C88" s="1" t="str">
        <f t="shared" si="21"/>
        <v/>
      </c>
      <c r="D88" s="5" t="str">
        <f t="shared" si="22"/>
        <v/>
      </c>
      <c r="E88" s="6" t="str">
        <f t="shared" si="23"/>
        <v/>
      </c>
      <c r="F88" s="6" t="str">
        <f t="shared" si="24"/>
        <v/>
      </c>
      <c r="G88" s="5" t="str">
        <f t="shared" si="25"/>
        <v/>
      </c>
      <c r="H88" s="5" t="str">
        <f t="shared" si="26"/>
        <v/>
      </c>
      <c r="I88" s="5" t="str">
        <f t="shared" si="27"/>
        <v/>
      </c>
      <c r="J88" s="5" t="str">
        <f t="shared" si="28"/>
        <v/>
      </c>
    </row>
    <row r="89" spans="1:10" x14ac:dyDescent="0.35">
      <c r="A89" s="2">
        <f t="shared" si="19"/>
        <v>1099511627776</v>
      </c>
      <c r="B89" s="4">
        <f t="shared" si="20"/>
        <v>40</v>
      </c>
      <c r="C89" s="1">
        <f t="shared" si="21"/>
        <v>1048576</v>
      </c>
      <c r="D89" s="5">
        <f t="shared" si="22"/>
        <v>1099511627776</v>
      </c>
      <c r="E89" s="6">
        <f t="shared" si="23"/>
        <v>43980465111040</v>
      </c>
      <c r="F89" s="6">
        <f t="shared" si="24"/>
        <v>1.1529215046068448E+18</v>
      </c>
      <c r="G89" s="5">
        <f t="shared" si="25"/>
        <v>1.2089258196146292E+24</v>
      </c>
      <c r="H89" s="5">
        <f t="shared" si="26"/>
        <v>1.3292279957849159E+36</v>
      </c>
      <c r="I89" s="5" t="e">
        <f t="shared" si="27"/>
        <v>#NUM!</v>
      </c>
      <c r="J89" s="5" t="e">
        <f t="shared" si="28"/>
        <v>#NUM!</v>
      </c>
    </row>
    <row r="90" spans="1:10" x14ac:dyDescent="0.35">
      <c r="A90" s="2" t="str">
        <f t="shared" si="19"/>
        <v>…</v>
      </c>
      <c r="B90" s="4" t="str">
        <f t="shared" si="20"/>
        <v/>
      </c>
      <c r="C90" s="1" t="str">
        <f t="shared" si="21"/>
        <v/>
      </c>
      <c r="D90" s="5" t="str">
        <f t="shared" si="22"/>
        <v/>
      </c>
      <c r="E90" s="6" t="str">
        <f t="shared" si="23"/>
        <v/>
      </c>
      <c r="F90" s="6" t="str">
        <f t="shared" si="24"/>
        <v/>
      </c>
      <c r="G90" s="5" t="str">
        <f t="shared" si="25"/>
        <v/>
      </c>
      <c r="H90" s="5" t="str">
        <f t="shared" si="26"/>
        <v/>
      </c>
      <c r="I90" s="5" t="str">
        <f t="shared" si="27"/>
        <v/>
      </c>
      <c r="J90" s="5" t="str">
        <f t="shared" si="28"/>
        <v/>
      </c>
    </row>
    <row r="91" spans="1:10" x14ac:dyDescent="0.35">
      <c r="A91" s="2">
        <f t="shared" si="19"/>
        <v>2199023255552</v>
      </c>
      <c r="B91" s="4">
        <f t="shared" si="20"/>
        <v>41</v>
      </c>
      <c r="C91" s="1">
        <f t="shared" si="21"/>
        <v>1482910.4003789306</v>
      </c>
      <c r="D91" s="5">
        <f t="shared" si="22"/>
        <v>2199023255552</v>
      </c>
      <c r="E91" s="6">
        <f t="shared" si="23"/>
        <v>90159953477632</v>
      </c>
      <c r="F91" s="6">
        <f t="shared" si="24"/>
        <v>3.2609544563331988E+18</v>
      </c>
      <c r="G91" s="5">
        <f t="shared" si="25"/>
        <v>4.8357032784585167E+24</v>
      </c>
      <c r="H91" s="5">
        <f t="shared" si="26"/>
        <v>1.0633823966279327E+37</v>
      </c>
      <c r="I91" s="5" t="e">
        <f t="shared" si="27"/>
        <v>#NUM!</v>
      </c>
      <c r="J91" s="5" t="e">
        <f t="shared" si="28"/>
        <v>#NUM!</v>
      </c>
    </row>
    <row r="92" spans="1:10" x14ac:dyDescent="0.35">
      <c r="A92" s="2" t="str">
        <f t="shared" si="19"/>
        <v>…</v>
      </c>
      <c r="B92" s="4" t="str">
        <f t="shared" si="20"/>
        <v/>
      </c>
      <c r="C92" s="1" t="str">
        <f t="shared" si="21"/>
        <v/>
      </c>
      <c r="D92" s="5" t="str">
        <f t="shared" si="22"/>
        <v/>
      </c>
      <c r="E92" s="6" t="str">
        <f t="shared" si="23"/>
        <v/>
      </c>
      <c r="F92" s="6" t="str">
        <f t="shared" si="24"/>
        <v/>
      </c>
      <c r="G92" s="5" t="str">
        <f t="shared" si="25"/>
        <v/>
      </c>
      <c r="H92" s="5" t="str">
        <f t="shared" si="26"/>
        <v/>
      </c>
      <c r="I92" s="5" t="str">
        <f t="shared" si="27"/>
        <v/>
      </c>
      <c r="J92" s="5" t="str">
        <f t="shared" si="28"/>
        <v/>
      </c>
    </row>
    <row r="93" spans="1:10" x14ac:dyDescent="0.35">
      <c r="A93" s="2">
        <f t="shared" si="19"/>
        <v>4398046511104</v>
      </c>
      <c r="B93" s="4">
        <f t="shared" si="20"/>
        <v>42</v>
      </c>
      <c r="C93" s="1">
        <f t="shared" si="21"/>
        <v>2097152</v>
      </c>
      <c r="D93" s="5">
        <f t="shared" si="22"/>
        <v>4398046511104</v>
      </c>
      <c r="E93" s="6">
        <f t="shared" si="23"/>
        <v>184717953466368</v>
      </c>
      <c r="F93" s="6">
        <f t="shared" si="24"/>
        <v>9.2233720368548106E+18</v>
      </c>
      <c r="G93" s="5">
        <f t="shared" si="25"/>
        <v>1.9342813113834067E+25</v>
      </c>
      <c r="H93" s="5">
        <f t="shared" si="26"/>
        <v>8.5070591730234616E+37</v>
      </c>
      <c r="I93" s="5" t="e">
        <f t="shared" si="27"/>
        <v>#NUM!</v>
      </c>
      <c r="J93" s="5" t="e">
        <f t="shared" si="28"/>
        <v>#NUM!</v>
      </c>
    </row>
    <row r="94" spans="1:10" x14ac:dyDescent="0.35">
      <c r="A94" s="2" t="str">
        <f t="shared" si="19"/>
        <v>…</v>
      </c>
      <c r="B94" s="4" t="str">
        <f t="shared" si="20"/>
        <v/>
      </c>
      <c r="C94" s="1" t="str">
        <f t="shared" si="21"/>
        <v/>
      </c>
      <c r="D94" s="5" t="str">
        <f t="shared" si="22"/>
        <v/>
      </c>
      <c r="E94" s="6" t="str">
        <f t="shared" si="23"/>
        <v/>
      </c>
      <c r="F94" s="6" t="str">
        <f t="shared" si="24"/>
        <v/>
      </c>
      <c r="G94" s="5" t="str">
        <f t="shared" si="25"/>
        <v/>
      </c>
      <c r="H94" s="5" t="str">
        <f t="shared" si="26"/>
        <v/>
      </c>
      <c r="I94" s="5" t="str">
        <f t="shared" si="27"/>
        <v/>
      </c>
      <c r="J94" s="5" t="str">
        <f t="shared" si="28"/>
        <v/>
      </c>
    </row>
    <row r="95" spans="1:10" x14ac:dyDescent="0.35">
      <c r="A95" s="2">
        <f t="shared" si="19"/>
        <v>8796093022208</v>
      </c>
      <c r="B95" s="4">
        <f t="shared" si="20"/>
        <v>43</v>
      </c>
      <c r="C95" s="1">
        <f t="shared" si="21"/>
        <v>2965820.8007578612</v>
      </c>
      <c r="D95" s="5">
        <f t="shared" si="22"/>
        <v>8796093022208</v>
      </c>
      <c r="E95" s="6">
        <f t="shared" si="23"/>
        <v>378231999954944</v>
      </c>
      <c r="F95" s="6">
        <f t="shared" si="24"/>
        <v>2.608763565066555E+19</v>
      </c>
      <c r="G95" s="5">
        <f t="shared" si="25"/>
        <v>7.7371252455336267E+25</v>
      </c>
      <c r="H95" s="5">
        <f t="shared" si="26"/>
        <v>6.8056473384187693E+38</v>
      </c>
      <c r="I95" s="5" t="e">
        <f t="shared" si="27"/>
        <v>#NUM!</v>
      </c>
      <c r="J95" s="5" t="e">
        <f t="shared" si="28"/>
        <v>#NUM!</v>
      </c>
    </row>
    <row r="96" spans="1:10" x14ac:dyDescent="0.35">
      <c r="A96" s="2" t="str">
        <f t="shared" si="19"/>
        <v>…</v>
      </c>
      <c r="B96" s="4" t="str">
        <f t="shared" si="20"/>
        <v/>
      </c>
      <c r="C96" s="1" t="str">
        <f t="shared" si="21"/>
        <v/>
      </c>
      <c r="D96" s="5" t="str">
        <f t="shared" si="22"/>
        <v/>
      </c>
      <c r="E96" s="6" t="str">
        <f t="shared" si="23"/>
        <v/>
      </c>
      <c r="F96" s="6" t="str">
        <f t="shared" si="24"/>
        <v/>
      </c>
      <c r="G96" s="5" t="str">
        <f t="shared" si="25"/>
        <v/>
      </c>
      <c r="H96" s="5" t="str">
        <f t="shared" si="26"/>
        <v/>
      </c>
      <c r="I96" s="5" t="str">
        <f t="shared" si="27"/>
        <v/>
      </c>
      <c r="J96" s="5" t="str">
        <f t="shared" si="28"/>
        <v/>
      </c>
    </row>
    <row r="97" spans="1:10" x14ac:dyDescent="0.35">
      <c r="A97" s="2">
        <f t="shared" si="19"/>
        <v>17592186044416</v>
      </c>
      <c r="B97" s="4">
        <f t="shared" si="20"/>
        <v>44</v>
      </c>
      <c r="C97" s="1">
        <f t="shared" si="21"/>
        <v>4194304</v>
      </c>
      <c r="D97" s="5">
        <f t="shared" si="22"/>
        <v>17592186044416</v>
      </c>
      <c r="E97" s="6">
        <f t="shared" si="23"/>
        <v>774056185954304</v>
      </c>
      <c r="F97" s="6">
        <f t="shared" si="24"/>
        <v>7.378697629483837E+19</v>
      </c>
      <c r="G97" s="5">
        <f t="shared" si="25"/>
        <v>3.0948500982134507E+26</v>
      </c>
      <c r="H97" s="5">
        <f t="shared" si="26"/>
        <v>5.4445178707350154E+39</v>
      </c>
      <c r="I97" s="5" t="e">
        <f t="shared" si="27"/>
        <v>#NUM!</v>
      </c>
      <c r="J97" s="5" t="e">
        <f t="shared" si="28"/>
        <v>#NUM!</v>
      </c>
    </row>
    <row r="98" spans="1:10" x14ac:dyDescent="0.35">
      <c r="A98" s="2" t="str">
        <f t="shared" si="19"/>
        <v>…</v>
      </c>
      <c r="B98" s="4" t="str">
        <f t="shared" si="20"/>
        <v/>
      </c>
      <c r="C98" s="1" t="str">
        <f t="shared" si="21"/>
        <v/>
      </c>
      <c r="D98" s="5" t="str">
        <f t="shared" si="22"/>
        <v/>
      </c>
      <c r="E98" s="6" t="str">
        <f t="shared" si="23"/>
        <v/>
      </c>
      <c r="F98" s="6" t="str">
        <f t="shared" si="24"/>
        <v/>
      </c>
      <c r="G98" s="5" t="str">
        <f t="shared" si="25"/>
        <v/>
      </c>
      <c r="H98" s="5" t="str">
        <f t="shared" si="26"/>
        <v/>
      </c>
      <c r="I98" s="5" t="str">
        <f t="shared" si="27"/>
        <v/>
      </c>
      <c r="J98" s="5" t="str">
        <f t="shared" si="28"/>
        <v/>
      </c>
    </row>
    <row r="99" spans="1:10" x14ac:dyDescent="0.35">
      <c r="A99" s="2">
        <f t="shared" ref="A99:A152" si="29">IF(A97="…","…",A97*2)</f>
        <v>35184372088832</v>
      </c>
      <c r="B99" s="4">
        <f t="shared" si="20"/>
        <v>45</v>
      </c>
      <c r="C99" s="1">
        <f t="shared" si="21"/>
        <v>5931641.6015157225</v>
      </c>
      <c r="D99" s="5">
        <f t="shared" si="22"/>
        <v>35184372088832</v>
      </c>
      <c r="E99" s="6">
        <f t="shared" si="23"/>
        <v>1583296743997440</v>
      </c>
      <c r="F99" s="6">
        <f t="shared" si="24"/>
        <v>2.0870108520532407E+20</v>
      </c>
      <c r="G99" s="5">
        <f t="shared" si="25"/>
        <v>1.2379400392853803E+27</v>
      </c>
      <c r="H99" s="5">
        <f t="shared" si="26"/>
        <v>4.3556142965880123E+40</v>
      </c>
      <c r="I99" s="5" t="e">
        <f t="shared" si="27"/>
        <v>#NUM!</v>
      </c>
      <c r="J99" s="5" t="e">
        <f t="shared" si="28"/>
        <v>#NUM!</v>
      </c>
    </row>
    <row r="100" spans="1:10" x14ac:dyDescent="0.35">
      <c r="A100" s="2" t="str">
        <f t="shared" si="29"/>
        <v>…</v>
      </c>
      <c r="B100" s="4" t="str">
        <f t="shared" si="20"/>
        <v/>
      </c>
      <c r="C100" s="1" t="str">
        <f t="shared" si="21"/>
        <v/>
      </c>
      <c r="D100" s="5" t="str">
        <f t="shared" si="22"/>
        <v/>
      </c>
      <c r="E100" s="6" t="str">
        <f t="shared" si="23"/>
        <v/>
      </c>
      <c r="F100" s="6" t="str">
        <f t="shared" si="24"/>
        <v/>
      </c>
      <c r="G100" s="5" t="str">
        <f t="shared" si="25"/>
        <v/>
      </c>
      <c r="H100" s="5" t="str">
        <f t="shared" si="26"/>
        <v/>
      </c>
      <c r="I100" s="5" t="str">
        <f t="shared" si="27"/>
        <v/>
      </c>
      <c r="J100" s="5" t="str">
        <f t="shared" si="28"/>
        <v/>
      </c>
    </row>
    <row r="101" spans="1:10" x14ac:dyDescent="0.35">
      <c r="A101" s="2">
        <f t="shared" si="29"/>
        <v>70368744177664</v>
      </c>
      <c r="B101" s="4">
        <f t="shared" si="20"/>
        <v>46</v>
      </c>
      <c r="C101" s="1">
        <f t="shared" si="21"/>
        <v>8388608</v>
      </c>
      <c r="D101" s="5">
        <f t="shared" si="22"/>
        <v>70368744177664</v>
      </c>
      <c r="E101" s="6">
        <f t="shared" si="23"/>
        <v>3236962232172544</v>
      </c>
      <c r="F101" s="6">
        <f t="shared" si="24"/>
        <v>5.9029581035870604E+20</v>
      </c>
      <c r="G101" s="5">
        <f t="shared" si="25"/>
        <v>4.9517601571415211E+27</v>
      </c>
      <c r="H101" s="5">
        <f t="shared" si="26"/>
        <v>3.4844914372704099E+41</v>
      </c>
      <c r="I101" s="5" t="e">
        <f t="shared" si="27"/>
        <v>#NUM!</v>
      </c>
      <c r="J101" s="5" t="e">
        <f t="shared" si="28"/>
        <v>#NUM!</v>
      </c>
    </row>
    <row r="102" spans="1:10" x14ac:dyDescent="0.35">
      <c r="A102" s="2" t="str">
        <f t="shared" si="29"/>
        <v>…</v>
      </c>
      <c r="B102" s="4" t="str">
        <f t="shared" si="20"/>
        <v/>
      </c>
      <c r="C102" s="1" t="str">
        <f t="shared" si="21"/>
        <v/>
      </c>
      <c r="D102" s="5" t="str">
        <f t="shared" si="22"/>
        <v/>
      </c>
      <c r="E102" s="6" t="str">
        <f t="shared" si="23"/>
        <v/>
      </c>
      <c r="F102" s="6" t="str">
        <f t="shared" si="24"/>
        <v/>
      </c>
      <c r="G102" s="5" t="str">
        <f t="shared" si="25"/>
        <v/>
      </c>
      <c r="H102" s="5" t="str">
        <f t="shared" si="26"/>
        <v/>
      </c>
      <c r="I102" s="5" t="str">
        <f t="shared" si="27"/>
        <v/>
      </c>
      <c r="J102" s="5" t="str">
        <f t="shared" si="28"/>
        <v/>
      </c>
    </row>
    <row r="103" spans="1:10" x14ac:dyDescent="0.35">
      <c r="A103" s="2">
        <f t="shared" si="29"/>
        <v>140737488355328</v>
      </c>
      <c r="B103" s="4">
        <f t="shared" si="20"/>
        <v>47.000000000000007</v>
      </c>
      <c r="C103" s="1">
        <f t="shared" si="21"/>
        <v>11863283.203031445</v>
      </c>
      <c r="D103" s="5">
        <f t="shared" si="22"/>
        <v>140737488355328</v>
      </c>
      <c r="E103" s="6">
        <f t="shared" si="23"/>
        <v>6614661952700417</v>
      </c>
      <c r="F103" s="6">
        <f t="shared" si="24"/>
        <v>1.669608681642602E+21</v>
      </c>
      <c r="G103" s="5">
        <f t="shared" si="25"/>
        <v>1.9807040628566084E+28</v>
      </c>
      <c r="H103" s="5">
        <f t="shared" si="26"/>
        <v>2.7875931498163279E+42</v>
      </c>
      <c r="I103" s="5" t="e">
        <f t="shared" si="27"/>
        <v>#NUM!</v>
      </c>
      <c r="J103" s="5" t="e">
        <f t="shared" si="28"/>
        <v>#NUM!</v>
      </c>
    </row>
    <row r="104" spans="1:10" x14ac:dyDescent="0.35">
      <c r="A104" s="2" t="str">
        <f t="shared" si="29"/>
        <v>…</v>
      </c>
      <c r="B104" s="4" t="str">
        <f t="shared" si="20"/>
        <v/>
      </c>
      <c r="C104" s="1" t="str">
        <f t="shared" si="21"/>
        <v/>
      </c>
      <c r="D104" s="5" t="str">
        <f t="shared" si="22"/>
        <v/>
      </c>
      <c r="E104" s="6" t="str">
        <f t="shared" si="23"/>
        <v/>
      </c>
      <c r="F104" s="6" t="str">
        <f t="shared" si="24"/>
        <v/>
      </c>
      <c r="G104" s="5" t="str">
        <f t="shared" si="25"/>
        <v/>
      </c>
      <c r="H104" s="5" t="str">
        <f t="shared" si="26"/>
        <v/>
      </c>
      <c r="I104" s="5" t="str">
        <f t="shared" si="27"/>
        <v/>
      </c>
      <c r="J104" s="5" t="str">
        <f t="shared" si="28"/>
        <v/>
      </c>
    </row>
    <row r="105" spans="1:10" x14ac:dyDescent="0.35">
      <c r="A105" s="2">
        <f t="shared" si="29"/>
        <v>281474976710656</v>
      </c>
      <c r="B105" s="4">
        <f t="shared" si="20"/>
        <v>48</v>
      </c>
      <c r="C105" s="1">
        <f t="shared" si="21"/>
        <v>16777216</v>
      </c>
      <c r="D105" s="5">
        <f t="shared" si="22"/>
        <v>281474976710656</v>
      </c>
      <c r="E105" s="6">
        <f t="shared" si="23"/>
        <v>1.3510798882111488E+16</v>
      </c>
      <c r="F105" s="6">
        <f t="shared" si="24"/>
        <v>4.722366482869608E+21</v>
      </c>
      <c r="G105" s="5">
        <f t="shared" si="25"/>
        <v>7.9228162514264338E+28</v>
      </c>
      <c r="H105" s="5">
        <f t="shared" si="26"/>
        <v>2.2300745198530623E+43</v>
      </c>
      <c r="I105" s="5" t="e">
        <f t="shared" si="27"/>
        <v>#NUM!</v>
      </c>
      <c r="J105" s="5" t="e">
        <f t="shared" si="28"/>
        <v>#NUM!</v>
      </c>
    </row>
    <row r="106" spans="1:10" x14ac:dyDescent="0.35">
      <c r="A106" s="2" t="str">
        <f t="shared" si="29"/>
        <v>…</v>
      </c>
      <c r="B106" s="4" t="str">
        <f t="shared" si="20"/>
        <v/>
      </c>
      <c r="C106" s="1" t="str">
        <f t="shared" si="21"/>
        <v/>
      </c>
      <c r="D106" s="5" t="str">
        <f t="shared" si="22"/>
        <v/>
      </c>
      <c r="E106" s="6" t="str">
        <f t="shared" si="23"/>
        <v/>
      </c>
      <c r="F106" s="6" t="str">
        <f t="shared" si="24"/>
        <v/>
      </c>
      <c r="G106" s="5" t="str">
        <f t="shared" si="25"/>
        <v/>
      </c>
      <c r="H106" s="5" t="str">
        <f t="shared" si="26"/>
        <v/>
      </c>
      <c r="I106" s="5" t="str">
        <f t="shared" si="27"/>
        <v/>
      </c>
      <c r="J106" s="5" t="str">
        <f t="shared" si="28"/>
        <v/>
      </c>
    </row>
    <row r="107" spans="1:10" x14ac:dyDescent="0.35">
      <c r="A107" s="2">
        <f t="shared" si="29"/>
        <v>562949953421312</v>
      </c>
      <c r="B107" s="4">
        <f t="shared" si="20"/>
        <v>49</v>
      </c>
      <c r="C107" s="1">
        <f t="shared" si="21"/>
        <v>23726566.40606289</v>
      </c>
      <c r="D107" s="5">
        <f t="shared" si="22"/>
        <v>562949953421312</v>
      </c>
      <c r="E107" s="6">
        <f t="shared" si="23"/>
        <v>2.7584547717644288E+16</v>
      </c>
      <c r="F107" s="6">
        <f t="shared" si="24"/>
        <v>1.3356869453140701E+22</v>
      </c>
      <c r="G107" s="5">
        <f t="shared" si="25"/>
        <v>3.1691265005705735E+29</v>
      </c>
      <c r="H107" s="5">
        <f t="shared" si="26"/>
        <v>1.7840596158824499E+44</v>
      </c>
      <c r="I107" s="5" t="e">
        <f t="shared" si="27"/>
        <v>#NUM!</v>
      </c>
      <c r="J107" s="5" t="e">
        <f t="shared" si="28"/>
        <v>#NUM!</v>
      </c>
    </row>
    <row r="108" spans="1:10" x14ac:dyDescent="0.35">
      <c r="A108" s="2" t="str">
        <f t="shared" si="29"/>
        <v>…</v>
      </c>
      <c r="B108" s="4" t="str">
        <f t="shared" si="20"/>
        <v/>
      </c>
      <c r="C108" s="1" t="str">
        <f t="shared" si="21"/>
        <v/>
      </c>
      <c r="D108" s="5" t="str">
        <f t="shared" si="22"/>
        <v/>
      </c>
      <c r="E108" s="6" t="str">
        <f t="shared" si="23"/>
        <v/>
      </c>
      <c r="F108" s="6" t="str">
        <f t="shared" si="24"/>
        <v/>
      </c>
      <c r="G108" s="5" t="str">
        <f t="shared" si="25"/>
        <v/>
      </c>
      <c r="H108" s="5" t="str">
        <f t="shared" si="26"/>
        <v/>
      </c>
      <c r="I108" s="5" t="str">
        <f t="shared" si="27"/>
        <v/>
      </c>
      <c r="J108" s="5" t="str">
        <f t="shared" si="28"/>
        <v/>
      </c>
    </row>
    <row r="109" spans="1:10" x14ac:dyDescent="0.35">
      <c r="A109" s="2">
        <f t="shared" si="29"/>
        <v>1125899906842624</v>
      </c>
      <c r="B109" s="4">
        <f t="shared" si="20"/>
        <v>50</v>
      </c>
      <c r="C109" s="1">
        <f t="shared" si="21"/>
        <v>33554432</v>
      </c>
      <c r="D109" s="5">
        <f t="shared" si="22"/>
        <v>1125899906842624</v>
      </c>
      <c r="E109" s="6">
        <f t="shared" si="23"/>
        <v>5.62949953421312E+16</v>
      </c>
      <c r="F109" s="6">
        <f t="shared" si="24"/>
        <v>3.7778931862957074E+22</v>
      </c>
      <c r="G109" s="5">
        <f t="shared" si="25"/>
        <v>1.2676506002282294E+30</v>
      </c>
      <c r="H109" s="5">
        <f t="shared" si="26"/>
        <v>1.4272476927059599E+45</v>
      </c>
      <c r="I109" s="5" t="e">
        <f t="shared" si="27"/>
        <v>#NUM!</v>
      </c>
      <c r="J109" s="5" t="e">
        <f t="shared" si="28"/>
        <v>#NUM!</v>
      </c>
    </row>
    <row r="110" spans="1:10" x14ac:dyDescent="0.35">
      <c r="A110" s="2" t="str">
        <f t="shared" si="29"/>
        <v>…</v>
      </c>
      <c r="B110" s="4" t="str">
        <f t="shared" si="20"/>
        <v/>
      </c>
      <c r="C110" s="1" t="str">
        <f t="shared" si="21"/>
        <v/>
      </c>
      <c r="D110" s="5" t="str">
        <f t="shared" si="22"/>
        <v/>
      </c>
      <c r="E110" s="6" t="str">
        <f t="shared" si="23"/>
        <v/>
      </c>
      <c r="F110" s="6" t="str">
        <f t="shared" si="24"/>
        <v/>
      </c>
      <c r="G110" s="5" t="str">
        <f t="shared" si="25"/>
        <v/>
      </c>
      <c r="H110" s="5" t="str">
        <f t="shared" si="26"/>
        <v/>
      </c>
      <c r="I110" s="5" t="str">
        <f t="shared" si="27"/>
        <v/>
      </c>
      <c r="J110" s="5" t="str">
        <f t="shared" si="28"/>
        <v/>
      </c>
    </row>
    <row r="111" spans="1:10" x14ac:dyDescent="0.35">
      <c r="A111" s="2">
        <f t="shared" si="29"/>
        <v>2251799813685248</v>
      </c>
      <c r="B111" s="4">
        <f t="shared" si="20"/>
        <v>51.000000000000007</v>
      </c>
      <c r="C111" s="1">
        <f t="shared" si="21"/>
        <v>47453132.81212578</v>
      </c>
      <c r="D111" s="5">
        <f t="shared" si="22"/>
        <v>2251799813685248</v>
      </c>
      <c r="E111" s="6">
        <f t="shared" si="23"/>
        <v>1.1484179049794766E+17</v>
      </c>
      <c r="F111" s="6">
        <f t="shared" si="24"/>
        <v>1.0685495562512621E+23</v>
      </c>
      <c r="G111" s="5">
        <f t="shared" si="25"/>
        <v>5.0706024009129176E+30</v>
      </c>
      <c r="H111" s="5">
        <f t="shared" si="26"/>
        <v>1.1417981541647679E+46</v>
      </c>
      <c r="I111" s="5" t="e">
        <f t="shared" si="27"/>
        <v>#NUM!</v>
      </c>
      <c r="J111" s="5" t="e">
        <f t="shared" si="28"/>
        <v>#NUM!</v>
      </c>
    </row>
    <row r="112" spans="1:10" x14ac:dyDescent="0.35">
      <c r="A112" s="2" t="str">
        <f t="shared" si="29"/>
        <v>…</v>
      </c>
      <c r="B112" s="4" t="str">
        <f t="shared" si="20"/>
        <v/>
      </c>
      <c r="C112" s="1" t="str">
        <f t="shared" si="21"/>
        <v/>
      </c>
      <c r="D112" s="5" t="str">
        <f t="shared" si="22"/>
        <v/>
      </c>
      <c r="E112" s="6" t="str">
        <f t="shared" si="23"/>
        <v/>
      </c>
      <c r="F112" s="6" t="str">
        <f t="shared" si="24"/>
        <v/>
      </c>
      <c r="G112" s="5" t="str">
        <f t="shared" si="25"/>
        <v/>
      </c>
      <c r="H112" s="5" t="str">
        <f t="shared" si="26"/>
        <v/>
      </c>
      <c r="I112" s="5" t="str">
        <f t="shared" si="27"/>
        <v/>
      </c>
      <c r="J112" s="5" t="str">
        <f t="shared" si="28"/>
        <v/>
      </c>
    </row>
    <row r="113" spans="1:10" x14ac:dyDescent="0.35">
      <c r="A113" s="2">
        <f t="shared" si="29"/>
        <v>4503599627370496</v>
      </c>
      <c r="B113" s="4">
        <f t="shared" si="20"/>
        <v>52</v>
      </c>
      <c r="C113" s="1">
        <f t="shared" si="21"/>
        <v>67108864</v>
      </c>
      <c r="D113" s="5">
        <f t="shared" si="22"/>
        <v>4503599627370496</v>
      </c>
      <c r="E113" s="6">
        <f t="shared" si="23"/>
        <v>2.3418718062326579E+17</v>
      </c>
      <c r="F113" s="6">
        <f t="shared" si="24"/>
        <v>3.0223145490365615E+23</v>
      </c>
      <c r="G113" s="5">
        <f t="shared" si="25"/>
        <v>2.028240960365167E+31</v>
      </c>
      <c r="H113" s="5">
        <f t="shared" si="26"/>
        <v>9.1343852333181432E+46</v>
      </c>
      <c r="I113" s="5" t="e">
        <f t="shared" si="27"/>
        <v>#NUM!</v>
      </c>
      <c r="J113" s="5" t="e">
        <f t="shared" si="28"/>
        <v>#NUM!</v>
      </c>
    </row>
    <row r="114" spans="1:10" x14ac:dyDescent="0.35">
      <c r="A114" s="2" t="str">
        <f t="shared" si="29"/>
        <v>…</v>
      </c>
      <c r="B114" s="4" t="str">
        <f t="shared" si="20"/>
        <v/>
      </c>
      <c r="C114" s="1" t="str">
        <f t="shared" si="21"/>
        <v/>
      </c>
      <c r="D114" s="5" t="str">
        <f t="shared" si="22"/>
        <v/>
      </c>
      <c r="E114" s="6" t="str">
        <f t="shared" si="23"/>
        <v/>
      </c>
      <c r="F114" s="6" t="str">
        <f t="shared" si="24"/>
        <v/>
      </c>
      <c r="G114" s="5" t="str">
        <f t="shared" si="25"/>
        <v/>
      </c>
      <c r="H114" s="5" t="str">
        <f t="shared" si="26"/>
        <v/>
      </c>
      <c r="I114" s="5" t="str">
        <f t="shared" si="27"/>
        <v/>
      </c>
      <c r="J114" s="5" t="str">
        <f t="shared" si="28"/>
        <v/>
      </c>
    </row>
    <row r="115" spans="1:10" x14ac:dyDescent="0.35">
      <c r="A115" s="2">
        <f t="shared" si="29"/>
        <v>9007199254740992</v>
      </c>
      <c r="B115" s="4">
        <f t="shared" si="20"/>
        <v>53</v>
      </c>
      <c r="C115" s="1">
        <f t="shared" si="21"/>
        <v>94906265.624251559</v>
      </c>
      <c r="D115" s="5">
        <f t="shared" si="22"/>
        <v>9007199254740992</v>
      </c>
      <c r="E115" s="6">
        <f t="shared" si="23"/>
        <v>4.7738156050127258E+17</v>
      </c>
      <c r="F115" s="6">
        <f t="shared" si="24"/>
        <v>8.5483964500100833E+23</v>
      </c>
      <c r="G115" s="5">
        <f t="shared" si="25"/>
        <v>8.1129638414606682E+31</v>
      </c>
      <c r="H115" s="5">
        <f t="shared" si="26"/>
        <v>7.3075081866545146E+47</v>
      </c>
      <c r="I115" s="5" t="e">
        <f t="shared" si="27"/>
        <v>#NUM!</v>
      </c>
      <c r="J115" s="5" t="e">
        <f t="shared" si="28"/>
        <v>#NUM!</v>
      </c>
    </row>
    <row r="116" spans="1:10" x14ac:dyDescent="0.35">
      <c r="A116" s="2" t="str">
        <f t="shared" si="29"/>
        <v>…</v>
      </c>
      <c r="B116" s="4" t="str">
        <f t="shared" si="20"/>
        <v/>
      </c>
      <c r="C116" s="1" t="str">
        <f t="shared" si="21"/>
        <v/>
      </c>
      <c r="D116" s="5" t="str">
        <f t="shared" si="22"/>
        <v/>
      </c>
      <c r="E116" s="6" t="str">
        <f t="shared" si="23"/>
        <v/>
      </c>
      <c r="F116" s="6" t="str">
        <f t="shared" si="24"/>
        <v/>
      </c>
      <c r="G116" s="5" t="str">
        <f t="shared" si="25"/>
        <v/>
      </c>
      <c r="H116" s="5" t="str">
        <f t="shared" si="26"/>
        <v/>
      </c>
      <c r="I116" s="5" t="str">
        <f t="shared" si="27"/>
        <v/>
      </c>
      <c r="J116" s="5" t="str">
        <f t="shared" si="28"/>
        <v/>
      </c>
    </row>
    <row r="117" spans="1:10" x14ac:dyDescent="0.35">
      <c r="A117" s="2">
        <f t="shared" si="29"/>
        <v>1.8014398509481984E+16</v>
      </c>
      <c r="B117" s="4">
        <f t="shared" si="20"/>
        <v>54</v>
      </c>
      <c r="C117" s="1">
        <f t="shared" si="21"/>
        <v>134217728</v>
      </c>
      <c r="D117" s="5">
        <f t="shared" si="22"/>
        <v>1.8014398509481984E+16</v>
      </c>
      <c r="E117" s="6">
        <f t="shared" si="23"/>
        <v>9.7277751951202714E+17</v>
      </c>
      <c r="F117" s="6">
        <f t="shared" si="24"/>
        <v>2.4178516392292626E+24</v>
      </c>
      <c r="G117" s="5">
        <f t="shared" si="25"/>
        <v>3.2451855365842673E+32</v>
      </c>
      <c r="H117" s="5">
        <f t="shared" si="26"/>
        <v>5.8460065493236117E+48</v>
      </c>
      <c r="I117" s="5" t="e">
        <f t="shared" si="27"/>
        <v>#NUM!</v>
      </c>
      <c r="J117" s="5" t="e">
        <f t="shared" si="28"/>
        <v>#NUM!</v>
      </c>
    </row>
    <row r="118" spans="1:10" x14ac:dyDescent="0.35">
      <c r="A118" s="2" t="str">
        <f t="shared" si="29"/>
        <v>…</v>
      </c>
      <c r="B118" s="4" t="str">
        <f t="shared" si="20"/>
        <v/>
      </c>
      <c r="C118" s="1" t="str">
        <f t="shared" si="21"/>
        <v/>
      </c>
      <c r="D118" s="5" t="str">
        <f t="shared" si="22"/>
        <v/>
      </c>
      <c r="E118" s="6" t="str">
        <f t="shared" si="23"/>
        <v/>
      </c>
      <c r="F118" s="6" t="str">
        <f t="shared" si="24"/>
        <v/>
      </c>
      <c r="G118" s="5" t="str">
        <f t="shared" si="25"/>
        <v/>
      </c>
      <c r="H118" s="5" t="str">
        <f t="shared" si="26"/>
        <v/>
      </c>
      <c r="I118" s="5" t="str">
        <f t="shared" si="27"/>
        <v/>
      </c>
      <c r="J118" s="5" t="str">
        <f t="shared" si="28"/>
        <v/>
      </c>
    </row>
    <row r="119" spans="1:10" x14ac:dyDescent="0.35">
      <c r="A119" s="2">
        <f t="shared" si="29"/>
        <v>3.6028797018963968E+16</v>
      </c>
      <c r="B119" s="4">
        <f t="shared" si="20"/>
        <v>55.000000000000007</v>
      </c>
      <c r="C119" s="1">
        <f t="shared" si="21"/>
        <v>189812531.24850312</v>
      </c>
      <c r="D119" s="5">
        <f t="shared" si="22"/>
        <v>3.6028797018963968E+16</v>
      </c>
      <c r="E119" s="6">
        <f t="shared" si="23"/>
        <v>1.9815838360430185E+18</v>
      </c>
      <c r="F119" s="6">
        <f t="shared" si="24"/>
        <v>6.8387171600081053E+24</v>
      </c>
      <c r="G119" s="5">
        <f t="shared" si="25"/>
        <v>1.2980742146337069E+33</v>
      </c>
      <c r="H119" s="5">
        <f t="shared" si="26"/>
        <v>4.6768052394588893E+49</v>
      </c>
      <c r="I119" s="5" t="e">
        <f t="shared" si="27"/>
        <v>#NUM!</v>
      </c>
      <c r="J119" s="5" t="e">
        <f t="shared" si="28"/>
        <v>#NUM!</v>
      </c>
    </row>
    <row r="120" spans="1:10" x14ac:dyDescent="0.35">
      <c r="A120" s="2" t="str">
        <f t="shared" si="29"/>
        <v>…</v>
      </c>
      <c r="B120" s="4" t="str">
        <f t="shared" si="20"/>
        <v/>
      </c>
      <c r="C120" s="1" t="str">
        <f t="shared" si="21"/>
        <v/>
      </c>
      <c r="D120" s="5" t="str">
        <f t="shared" si="22"/>
        <v/>
      </c>
      <c r="E120" s="6" t="str">
        <f t="shared" si="23"/>
        <v/>
      </c>
      <c r="F120" s="6" t="str">
        <f t="shared" si="24"/>
        <v/>
      </c>
      <c r="G120" s="5" t="str">
        <f t="shared" si="25"/>
        <v/>
      </c>
      <c r="H120" s="5" t="str">
        <f t="shared" si="26"/>
        <v/>
      </c>
      <c r="I120" s="5" t="str">
        <f t="shared" si="27"/>
        <v/>
      </c>
      <c r="J120" s="5" t="str">
        <f t="shared" si="28"/>
        <v/>
      </c>
    </row>
    <row r="121" spans="1:10" x14ac:dyDescent="0.35">
      <c r="A121" s="2">
        <f t="shared" si="29"/>
        <v>7.2057594037927936E+16</v>
      </c>
      <c r="B121" s="4">
        <f t="shared" si="20"/>
        <v>56</v>
      </c>
      <c r="C121" s="1">
        <f t="shared" si="21"/>
        <v>268435456</v>
      </c>
      <c r="D121" s="5">
        <f t="shared" si="22"/>
        <v>7.2057594037927936E+16</v>
      </c>
      <c r="E121" s="6">
        <f t="shared" si="23"/>
        <v>4.0352252661239644E+18</v>
      </c>
      <c r="F121" s="6">
        <f t="shared" si="24"/>
        <v>1.9342813113834071E+25</v>
      </c>
      <c r="G121" s="5">
        <f t="shared" si="25"/>
        <v>5.1922968585348276E+33</v>
      </c>
      <c r="H121" s="5">
        <f t="shared" si="26"/>
        <v>3.7414441915671115E+50</v>
      </c>
      <c r="I121" s="5" t="e">
        <f t="shared" si="27"/>
        <v>#NUM!</v>
      </c>
      <c r="J121" s="5" t="e">
        <f t="shared" si="28"/>
        <v>#NUM!</v>
      </c>
    </row>
    <row r="122" spans="1:10" x14ac:dyDescent="0.35">
      <c r="A122" s="2" t="str">
        <f t="shared" si="29"/>
        <v>…</v>
      </c>
      <c r="B122" s="4" t="str">
        <f t="shared" si="20"/>
        <v/>
      </c>
      <c r="C122" s="1" t="str">
        <f t="shared" si="21"/>
        <v/>
      </c>
      <c r="D122" s="5" t="str">
        <f t="shared" si="22"/>
        <v/>
      </c>
      <c r="E122" s="6" t="str">
        <f t="shared" si="23"/>
        <v/>
      </c>
      <c r="F122" s="6" t="str">
        <f t="shared" si="24"/>
        <v/>
      </c>
      <c r="G122" s="5" t="str">
        <f t="shared" si="25"/>
        <v/>
      </c>
      <c r="H122" s="5" t="str">
        <f t="shared" si="26"/>
        <v/>
      </c>
      <c r="I122" s="5" t="str">
        <f t="shared" si="27"/>
        <v/>
      </c>
      <c r="J122" s="5" t="str">
        <f t="shared" si="28"/>
        <v/>
      </c>
    </row>
    <row r="123" spans="1:10" x14ac:dyDescent="0.35">
      <c r="A123" s="2">
        <f t="shared" si="29"/>
        <v>1.4411518807585587E+17</v>
      </c>
      <c r="B123" s="4">
        <f t="shared" si="20"/>
        <v>57</v>
      </c>
      <c r="C123" s="1">
        <f t="shared" si="21"/>
        <v>379625062.49700624</v>
      </c>
      <c r="D123" s="5">
        <f t="shared" si="22"/>
        <v>1.4411518807585587E+17</v>
      </c>
      <c r="E123" s="6">
        <f t="shared" si="23"/>
        <v>8.2145657203237847E+18</v>
      </c>
      <c r="F123" s="6">
        <f t="shared" si="24"/>
        <v>5.4709737280064757E+25</v>
      </c>
      <c r="G123" s="5">
        <f t="shared" si="25"/>
        <v>2.0769187434139311E+34</v>
      </c>
      <c r="H123" s="5">
        <f t="shared" si="26"/>
        <v>2.9931553532536892E+51</v>
      </c>
      <c r="I123" s="5" t="e">
        <f t="shared" si="27"/>
        <v>#NUM!</v>
      </c>
      <c r="J123" s="5" t="e">
        <f t="shared" si="28"/>
        <v>#NUM!</v>
      </c>
    </row>
    <row r="124" spans="1:10" x14ac:dyDescent="0.35">
      <c r="A124" s="2" t="str">
        <f t="shared" si="29"/>
        <v>…</v>
      </c>
      <c r="B124" s="4" t="str">
        <f t="shared" si="20"/>
        <v/>
      </c>
      <c r="C124" s="1" t="str">
        <f t="shared" si="21"/>
        <v/>
      </c>
      <c r="D124" s="5" t="str">
        <f t="shared" si="22"/>
        <v/>
      </c>
      <c r="E124" s="6" t="str">
        <f t="shared" si="23"/>
        <v/>
      </c>
      <c r="F124" s="6" t="str">
        <f t="shared" si="24"/>
        <v/>
      </c>
      <c r="G124" s="5" t="str">
        <f t="shared" si="25"/>
        <v/>
      </c>
      <c r="H124" s="5" t="str">
        <f t="shared" si="26"/>
        <v/>
      </c>
      <c r="I124" s="5" t="str">
        <f t="shared" si="27"/>
        <v/>
      </c>
      <c r="J124" s="5" t="str">
        <f t="shared" si="28"/>
        <v/>
      </c>
    </row>
    <row r="125" spans="1:10" x14ac:dyDescent="0.35">
      <c r="A125" s="2">
        <f t="shared" si="29"/>
        <v>2.8823037615171174E+17</v>
      </c>
      <c r="B125" s="4">
        <f t="shared" si="20"/>
        <v>58.000000000000007</v>
      </c>
      <c r="C125" s="1">
        <f t="shared" si="21"/>
        <v>536870912</v>
      </c>
      <c r="D125" s="5">
        <f t="shared" si="22"/>
        <v>2.8823037615171174E+17</v>
      </c>
      <c r="E125" s="6">
        <f t="shared" si="23"/>
        <v>1.6717361816799283E+19</v>
      </c>
      <c r="F125" s="6">
        <f t="shared" si="24"/>
        <v>1.5474250491067343E+26</v>
      </c>
      <c r="G125" s="5">
        <f t="shared" si="25"/>
        <v>8.3076749736557242E+34</v>
      </c>
      <c r="H125" s="5">
        <f t="shared" si="26"/>
        <v>2.3945242826029513E+52</v>
      </c>
      <c r="I125" s="5" t="e">
        <f t="shared" si="27"/>
        <v>#NUM!</v>
      </c>
      <c r="J125" s="5" t="e">
        <f t="shared" si="28"/>
        <v>#NUM!</v>
      </c>
    </row>
    <row r="126" spans="1:10" x14ac:dyDescent="0.35">
      <c r="A126" s="2" t="str">
        <f t="shared" si="29"/>
        <v>…</v>
      </c>
      <c r="B126" s="4" t="str">
        <f t="shared" si="20"/>
        <v/>
      </c>
      <c r="C126" s="1" t="str">
        <f t="shared" si="21"/>
        <v/>
      </c>
      <c r="D126" s="5" t="str">
        <f t="shared" si="22"/>
        <v/>
      </c>
      <c r="E126" s="6" t="str">
        <f t="shared" si="23"/>
        <v/>
      </c>
      <c r="F126" s="6" t="str">
        <f t="shared" si="24"/>
        <v/>
      </c>
      <c r="G126" s="5" t="str">
        <f t="shared" si="25"/>
        <v/>
      </c>
      <c r="H126" s="5" t="str">
        <f t="shared" si="26"/>
        <v/>
      </c>
      <c r="I126" s="5" t="str">
        <f t="shared" si="27"/>
        <v/>
      </c>
      <c r="J126" s="5" t="str">
        <f t="shared" si="28"/>
        <v/>
      </c>
    </row>
    <row r="127" spans="1:10" x14ac:dyDescent="0.35">
      <c r="A127" s="2">
        <f t="shared" si="29"/>
        <v>5.7646075230342349E+17</v>
      </c>
      <c r="B127" s="4">
        <f t="shared" si="20"/>
        <v>59.000000000000007</v>
      </c>
      <c r="C127" s="1">
        <f t="shared" si="21"/>
        <v>759250124.99401248</v>
      </c>
      <c r="D127" s="5">
        <f t="shared" si="22"/>
        <v>5.7646075230342349E+17</v>
      </c>
      <c r="E127" s="6">
        <f t="shared" si="23"/>
        <v>3.401118438590199E+19</v>
      </c>
      <c r="F127" s="6">
        <f t="shared" si="24"/>
        <v>4.3767789824052053E+26</v>
      </c>
      <c r="G127" s="5">
        <f t="shared" si="25"/>
        <v>3.3230699894622897E+35</v>
      </c>
      <c r="H127" s="5">
        <f t="shared" si="26"/>
        <v>1.9156194260823611E+53</v>
      </c>
      <c r="I127" s="5" t="e">
        <f t="shared" si="27"/>
        <v>#NUM!</v>
      </c>
      <c r="J127" s="5" t="e">
        <f t="shared" si="28"/>
        <v>#NUM!</v>
      </c>
    </row>
    <row r="128" spans="1:10" x14ac:dyDescent="0.35">
      <c r="A128" s="2" t="str">
        <f t="shared" si="29"/>
        <v>…</v>
      </c>
      <c r="B128" s="4" t="str">
        <f t="shared" si="20"/>
        <v/>
      </c>
      <c r="C128" s="1" t="str">
        <f t="shared" si="21"/>
        <v/>
      </c>
      <c r="D128" s="5" t="str">
        <f t="shared" si="22"/>
        <v/>
      </c>
      <c r="E128" s="6" t="str">
        <f t="shared" si="23"/>
        <v/>
      </c>
      <c r="F128" s="6" t="str">
        <f t="shared" si="24"/>
        <v/>
      </c>
      <c r="G128" s="5" t="str">
        <f t="shared" si="25"/>
        <v/>
      </c>
      <c r="H128" s="5" t="str">
        <f t="shared" si="26"/>
        <v/>
      </c>
      <c r="I128" s="5" t="str">
        <f t="shared" si="27"/>
        <v/>
      </c>
      <c r="J128" s="5" t="str">
        <f t="shared" si="28"/>
        <v/>
      </c>
    </row>
    <row r="129" spans="1:10" x14ac:dyDescent="0.35">
      <c r="A129" s="2">
        <f t="shared" si="29"/>
        <v>1.152921504606847E+18</v>
      </c>
      <c r="B129" s="4">
        <f t="shared" si="20"/>
        <v>60</v>
      </c>
      <c r="C129" s="1">
        <f t="shared" si="21"/>
        <v>1073741824</v>
      </c>
      <c r="D129" s="5">
        <f t="shared" si="22"/>
        <v>1.152921504606847E+18</v>
      </c>
      <c r="E129" s="6">
        <f t="shared" si="23"/>
        <v>6.9175290276410819E+19</v>
      </c>
      <c r="F129" s="6">
        <f t="shared" si="24"/>
        <v>1.2379400392853768E+27</v>
      </c>
      <c r="G129" s="5">
        <f t="shared" si="25"/>
        <v>1.3292279957849159E+36</v>
      </c>
      <c r="H129" s="5">
        <f t="shared" si="26"/>
        <v>1.5324955408658889E+54</v>
      </c>
      <c r="I129" s="5" t="e">
        <f t="shared" si="27"/>
        <v>#NUM!</v>
      </c>
      <c r="J129" s="5" t="e">
        <f t="shared" si="28"/>
        <v>#NUM!</v>
      </c>
    </row>
    <row r="130" spans="1:10" x14ac:dyDescent="0.35">
      <c r="A130" s="2" t="str">
        <f t="shared" si="29"/>
        <v>…</v>
      </c>
      <c r="B130" s="4" t="str">
        <f t="shared" si="20"/>
        <v/>
      </c>
      <c r="C130" s="1" t="str">
        <f t="shared" si="21"/>
        <v/>
      </c>
      <c r="D130" s="5" t="str">
        <f t="shared" si="22"/>
        <v/>
      </c>
      <c r="E130" s="6" t="str">
        <f t="shared" si="23"/>
        <v/>
      </c>
      <c r="F130" s="6" t="str">
        <f t="shared" si="24"/>
        <v/>
      </c>
      <c r="G130" s="5" t="str">
        <f t="shared" si="25"/>
        <v/>
      </c>
      <c r="H130" s="5" t="str">
        <f t="shared" si="26"/>
        <v/>
      </c>
      <c r="I130" s="5" t="str">
        <f t="shared" si="27"/>
        <v/>
      </c>
      <c r="J130" s="5" t="str">
        <f t="shared" si="28"/>
        <v/>
      </c>
    </row>
    <row r="131" spans="1:10" x14ac:dyDescent="0.35">
      <c r="A131" s="2">
        <f t="shared" si="29"/>
        <v>2.305843009213694E+18</v>
      </c>
      <c r="B131" s="4">
        <f t="shared" si="20"/>
        <v>61</v>
      </c>
      <c r="C131" s="1">
        <f t="shared" si="21"/>
        <v>1518500249.988025</v>
      </c>
      <c r="D131" s="5">
        <f t="shared" si="22"/>
        <v>2.305843009213694E+18</v>
      </c>
      <c r="E131" s="6">
        <f t="shared" si="23"/>
        <v>1.4065642356203533E+20</v>
      </c>
      <c r="F131" s="6">
        <f t="shared" si="24"/>
        <v>3.501423185924134E+27</v>
      </c>
      <c r="G131" s="5">
        <f t="shared" si="25"/>
        <v>5.3169119831396635E+36</v>
      </c>
      <c r="H131" s="5">
        <f t="shared" si="26"/>
        <v>1.2259964326927111E+55</v>
      </c>
      <c r="I131" s="5" t="e">
        <f t="shared" si="27"/>
        <v>#NUM!</v>
      </c>
      <c r="J131" s="5" t="e">
        <f t="shared" si="28"/>
        <v>#NUM!</v>
      </c>
    </row>
    <row r="132" spans="1:10" x14ac:dyDescent="0.35">
      <c r="A132" s="2" t="str">
        <f t="shared" si="29"/>
        <v>…</v>
      </c>
      <c r="B132" s="4" t="str">
        <f t="shared" si="20"/>
        <v/>
      </c>
      <c r="C132" s="1" t="str">
        <f t="shared" si="21"/>
        <v/>
      </c>
      <c r="D132" s="5" t="str">
        <f t="shared" si="22"/>
        <v/>
      </c>
      <c r="E132" s="6" t="str">
        <f t="shared" si="23"/>
        <v/>
      </c>
      <c r="F132" s="6" t="str">
        <f t="shared" si="24"/>
        <v/>
      </c>
      <c r="G132" s="5" t="str">
        <f t="shared" si="25"/>
        <v/>
      </c>
      <c r="H132" s="5" t="str">
        <f t="shared" si="26"/>
        <v/>
      </c>
      <c r="I132" s="5" t="str">
        <f t="shared" si="27"/>
        <v/>
      </c>
      <c r="J132" s="5" t="str">
        <f t="shared" si="28"/>
        <v/>
      </c>
    </row>
    <row r="133" spans="1:10" x14ac:dyDescent="0.35">
      <c r="A133" s="2">
        <f t="shared" si="29"/>
        <v>4.6116860184273879E+18</v>
      </c>
      <c r="B133" s="4">
        <f t="shared" si="20"/>
        <v>62.000000000000007</v>
      </c>
      <c r="C133" s="1">
        <f t="shared" si="21"/>
        <v>2147483648</v>
      </c>
      <c r="D133" s="5">
        <f t="shared" si="22"/>
        <v>4.6116860184273879E+18</v>
      </c>
      <c r="E133" s="6">
        <f t="shared" si="23"/>
        <v>2.8592453314249808E+20</v>
      </c>
      <c r="F133" s="6">
        <f t="shared" si="24"/>
        <v>9.9035203142830708E+27</v>
      </c>
      <c r="G133" s="5">
        <f t="shared" si="25"/>
        <v>2.1267647932558654E+37</v>
      </c>
      <c r="H133" s="5">
        <f t="shared" si="26"/>
        <v>9.8079714615416887E+55</v>
      </c>
      <c r="I133" s="5" t="e">
        <f t="shared" si="27"/>
        <v>#NUM!</v>
      </c>
      <c r="J133" s="5" t="e">
        <f t="shared" si="28"/>
        <v>#NUM!</v>
      </c>
    </row>
    <row r="134" spans="1:10" x14ac:dyDescent="0.35">
      <c r="A134" s="2" t="str">
        <f t="shared" si="29"/>
        <v>…</v>
      </c>
      <c r="B134" s="4" t="str">
        <f t="shared" si="20"/>
        <v/>
      </c>
      <c r="C134" s="1" t="str">
        <f t="shared" si="21"/>
        <v/>
      </c>
      <c r="D134" s="5" t="str">
        <f t="shared" si="22"/>
        <v/>
      </c>
      <c r="E134" s="6" t="str">
        <f t="shared" si="23"/>
        <v/>
      </c>
      <c r="F134" s="6" t="str">
        <f t="shared" si="24"/>
        <v/>
      </c>
      <c r="G134" s="5" t="str">
        <f t="shared" si="25"/>
        <v/>
      </c>
      <c r="H134" s="5" t="str">
        <f t="shared" si="26"/>
        <v/>
      </c>
      <c r="I134" s="5" t="str">
        <f t="shared" si="27"/>
        <v/>
      </c>
      <c r="J134" s="5" t="str">
        <f t="shared" si="28"/>
        <v/>
      </c>
    </row>
    <row r="135" spans="1:10" x14ac:dyDescent="0.35">
      <c r="A135" s="2">
        <f t="shared" si="29"/>
        <v>9.2233720368547758E+18</v>
      </c>
      <c r="B135" s="4">
        <f t="shared" si="20"/>
        <v>63</v>
      </c>
      <c r="C135" s="1">
        <f t="shared" si="21"/>
        <v>3037000499.9760499</v>
      </c>
      <c r="D135" s="5">
        <f t="shared" si="22"/>
        <v>9.2233720368547758E+18</v>
      </c>
      <c r="E135" s="6">
        <f t="shared" si="23"/>
        <v>5.8107243832185088E+20</v>
      </c>
      <c r="F135" s="6">
        <f t="shared" si="24"/>
        <v>2.801138548739283E+28</v>
      </c>
      <c r="G135" s="5">
        <f t="shared" si="25"/>
        <v>8.5070591730234616E+37</v>
      </c>
      <c r="H135" s="5">
        <f t="shared" si="26"/>
        <v>7.846377169233351E+56</v>
      </c>
      <c r="I135" s="5" t="e">
        <f t="shared" si="27"/>
        <v>#NUM!</v>
      </c>
      <c r="J135" s="5" t="e">
        <f t="shared" si="28"/>
        <v>#NUM!</v>
      </c>
    </row>
    <row r="136" spans="1:10" x14ac:dyDescent="0.35">
      <c r="A136" s="2" t="str">
        <f t="shared" si="29"/>
        <v>…</v>
      </c>
      <c r="B136" s="4" t="str">
        <f t="shared" si="20"/>
        <v/>
      </c>
      <c r="C136" s="1" t="str">
        <f t="shared" si="21"/>
        <v/>
      </c>
      <c r="D136" s="5" t="str">
        <f t="shared" si="22"/>
        <v/>
      </c>
      <c r="E136" s="6" t="str">
        <f t="shared" si="23"/>
        <v/>
      </c>
      <c r="F136" s="6" t="str">
        <f t="shared" si="24"/>
        <v/>
      </c>
      <c r="G136" s="5" t="str">
        <f t="shared" si="25"/>
        <v/>
      </c>
      <c r="H136" s="5" t="str">
        <f t="shared" si="26"/>
        <v/>
      </c>
      <c r="I136" s="5" t="str">
        <f t="shared" si="27"/>
        <v/>
      </c>
      <c r="J136" s="5" t="str">
        <f t="shared" si="28"/>
        <v/>
      </c>
    </row>
    <row r="137" spans="1:10" x14ac:dyDescent="0.35">
      <c r="A137" s="2">
        <f t="shared" si="29"/>
        <v>1.8446744073709552E+19</v>
      </c>
      <c r="B137" s="4">
        <f t="shared" si="20"/>
        <v>64</v>
      </c>
      <c r="C137" s="1">
        <f t="shared" si="21"/>
        <v>4294967296</v>
      </c>
      <c r="D137" s="5">
        <f t="shared" si="22"/>
        <v>1.8446744073709552E+19</v>
      </c>
      <c r="E137" s="6">
        <f t="shared" si="23"/>
        <v>1.1805916207174113E+21</v>
      </c>
      <c r="F137" s="6">
        <f t="shared" si="24"/>
        <v>7.922816251426388E+28</v>
      </c>
      <c r="G137" s="5">
        <f t="shared" si="25"/>
        <v>3.4028236692093846E+38</v>
      </c>
      <c r="H137" s="5">
        <f t="shared" si="26"/>
        <v>6.2771017353866808E+57</v>
      </c>
      <c r="I137" s="5" t="e">
        <f t="shared" si="27"/>
        <v>#NUM!</v>
      </c>
      <c r="J137" s="5" t="e">
        <f t="shared" si="28"/>
        <v>#NUM!</v>
      </c>
    </row>
    <row r="138" spans="1:10" x14ac:dyDescent="0.35">
      <c r="A138" s="2" t="str">
        <f t="shared" si="29"/>
        <v>…</v>
      </c>
      <c r="B138" s="4" t="str">
        <f t="shared" si="20"/>
        <v/>
      </c>
      <c r="C138" s="1" t="str">
        <f t="shared" si="21"/>
        <v/>
      </c>
      <c r="D138" s="5" t="str">
        <f t="shared" si="22"/>
        <v/>
      </c>
      <c r="E138" s="6" t="str">
        <f t="shared" si="23"/>
        <v/>
      </c>
      <c r="F138" s="6" t="str">
        <f t="shared" si="24"/>
        <v/>
      </c>
      <c r="G138" s="5" t="str">
        <f t="shared" si="25"/>
        <v/>
      </c>
      <c r="H138" s="5" t="str">
        <f t="shared" si="26"/>
        <v/>
      </c>
      <c r="I138" s="5" t="str">
        <f t="shared" si="27"/>
        <v/>
      </c>
      <c r="J138" s="5" t="str">
        <f t="shared" si="28"/>
        <v/>
      </c>
    </row>
    <row r="139" spans="1:10" x14ac:dyDescent="0.35">
      <c r="A139" s="2">
        <f t="shared" si="29"/>
        <v>3.6893488147419103E+19</v>
      </c>
      <c r="B139" s="4">
        <f t="shared" si="20"/>
        <v>65</v>
      </c>
      <c r="C139" s="1">
        <f t="shared" si="21"/>
        <v>6074000999.9520998</v>
      </c>
      <c r="D139" s="5">
        <f t="shared" si="22"/>
        <v>3.6893488147419103E+19</v>
      </c>
      <c r="E139" s="6">
        <f t="shared" si="23"/>
        <v>2.3980767295822417E+21</v>
      </c>
      <c r="F139" s="6">
        <f t="shared" si="24"/>
        <v>2.2409108389914391E+29</v>
      </c>
      <c r="G139" s="5">
        <f t="shared" si="25"/>
        <v>1.3611294676837539E+39</v>
      </c>
      <c r="H139" s="5">
        <f t="shared" si="26"/>
        <v>5.0216813883093446E+58</v>
      </c>
      <c r="I139" s="5" t="e">
        <f t="shared" si="27"/>
        <v>#NUM!</v>
      </c>
      <c r="J139" s="5" t="e">
        <f t="shared" si="28"/>
        <v>#NUM!</v>
      </c>
    </row>
    <row r="140" spans="1:10" x14ac:dyDescent="0.35">
      <c r="A140" s="2" t="str">
        <f t="shared" si="29"/>
        <v>…</v>
      </c>
      <c r="B140" s="4" t="str">
        <f t="shared" si="20"/>
        <v/>
      </c>
      <c r="C140" s="1" t="str">
        <f t="shared" si="21"/>
        <v/>
      </c>
      <c r="D140" s="5" t="str">
        <f t="shared" si="22"/>
        <v/>
      </c>
      <c r="E140" s="6" t="str">
        <f t="shared" si="23"/>
        <v/>
      </c>
      <c r="F140" s="6" t="str">
        <f t="shared" si="24"/>
        <v/>
      </c>
      <c r="G140" s="5" t="str">
        <f t="shared" si="25"/>
        <v/>
      </c>
      <c r="H140" s="5" t="str">
        <f t="shared" si="26"/>
        <v/>
      </c>
      <c r="I140" s="5" t="str">
        <f t="shared" si="27"/>
        <v/>
      </c>
      <c r="J140" s="5" t="str">
        <f t="shared" si="28"/>
        <v/>
      </c>
    </row>
    <row r="141" spans="1:10" x14ac:dyDescent="0.35">
      <c r="A141" s="2">
        <f t="shared" si="29"/>
        <v>7.3786976294838206E+19</v>
      </c>
      <c r="B141" s="4">
        <f t="shared" si="20"/>
        <v>66</v>
      </c>
      <c r="C141" s="1">
        <f t="shared" si="21"/>
        <v>8589934592</v>
      </c>
      <c r="D141" s="5">
        <f t="shared" si="22"/>
        <v>7.3786976294838206E+19</v>
      </c>
      <c r="E141" s="6">
        <f t="shared" si="23"/>
        <v>4.8699404354593216E+21</v>
      </c>
      <c r="F141" s="6">
        <f t="shared" si="24"/>
        <v>6.3382530011411456E+29</v>
      </c>
      <c r="G141" s="5">
        <f t="shared" si="25"/>
        <v>5.4445178707350154E+39</v>
      </c>
      <c r="H141" s="5">
        <f t="shared" si="26"/>
        <v>4.0173451106474757E+59</v>
      </c>
      <c r="I141" s="5" t="e">
        <f t="shared" si="27"/>
        <v>#NUM!</v>
      </c>
      <c r="J141" s="5" t="e">
        <f t="shared" si="28"/>
        <v>#NUM!</v>
      </c>
    </row>
    <row r="142" spans="1:10" x14ac:dyDescent="0.35">
      <c r="A142" s="2" t="str">
        <f t="shared" si="29"/>
        <v>…</v>
      </c>
      <c r="B142" s="4" t="str">
        <f t="shared" si="20"/>
        <v/>
      </c>
      <c r="C142" s="1" t="str">
        <f t="shared" si="21"/>
        <v/>
      </c>
      <c r="D142" s="5" t="str">
        <f t="shared" si="22"/>
        <v/>
      </c>
      <c r="E142" s="6" t="str">
        <f t="shared" si="23"/>
        <v/>
      </c>
      <c r="F142" s="6" t="str">
        <f t="shared" si="24"/>
        <v/>
      </c>
      <c r="G142" s="5" t="str">
        <f t="shared" si="25"/>
        <v/>
      </c>
      <c r="H142" s="5" t="str">
        <f t="shared" si="26"/>
        <v/>
      </c>
      <c r="I142" s="5" t="str">
        <f t="shared" si="27"/>
        <v/>
      </c>
      <c r="J142" s="5" t="str">
        <f t="shared" si="28"/>
        <v/>
      </c>
    </row>
    <row r="143" spans="1:10" x14ac:dyDescent="0.35">
      <c r="A143" s="2">
        <f t="shared" si="29"/>
        <v>1.4757395258967641E+20</v>
      </c>
      <c r="B143" s="4">
        <f t="shared" si="20"/>
        <v>67</v>
      </c>
      <c r="C143" s="1">
        <f t="shared" si="21"/>
        <v>12148001999.9042</v>
      </c>
      <c r="D143" s="5">
        <f t="shared" si="22"/>
        <v>1.4757395258967641E+20</v>
      </c>
      <c r="E143" s="6">
        <f t="shared" si="23"/>
        <v>9.8874548235083197E+21</v>
      </c>
      <c r="F143" s="6">
        <f t="shared" si="24"/>
        <v>1.7927286711931358E+30</v>
      </c>
      <c r="G143" s="5">
        <f t="shared" si="25"/>
        <v>2.1778071482940062E+40</v>
      </c>
      <c r="H143" s="5">
        <f t="shared" si="26"/>
        <v>3.2138760885179806E+60</v>
      </c>
      <c r="I143" s="5" t="e">
        <f t="shared" si="27"/>
        <v>#NUM!</v>
      </c>
      <c r="J143" s="5" t="e">
        <f t="shared" si="28"/>
        <v>#NUM!</v>
      </c>
    </row>
    <row r="144" spans="1:10" x14ac:dyDescent="0.35">
      <c r="A144" s="2" t="str">
        <f t="shared" si="29"/>
        <v>…</v>
      </c>
      <c r="B144" s="4" t="str">
        <f t="shared" si="20"/>
        <v/>
      </c>
      <c r="C144" s="1" t="str">
        <f t="shared" si="21"/>
        <v/>
      </c>
      <c r="D144" s="5" t="str">
        <f t="shared" si="22"/>
        <v/>
      </c>
      <c r="E144" s="6" t="str">
        <f t="shared" si="23"/>
        <v/>
      </c>
      <c r="F144" s="6" t="str">
        <f t="shared" si="24"/>
        <v/>
      </c>
      <c r="G144" s="5" t="str">
        <f t="shared" si="25"/>
        <v/>
      </c>
      <c r="H144" s="5" t="str">
        <f t="shared" si="26"/>
        <v/>
      </c>
      <c r="I144" s="5" t="str">
        <f t="shared" si="27"/>
        <v/>
      </c>
      <c r="J144" s="5" t="str">
        <f t="shared" si="28"/>
        <v/>
      </c>
    </row>
    <row r="145" spans="1:10" x14ac:dyDescent="0.35">
      <c r="A145" s="2">
        <f t="shared" si="29"/>
        <v>2.9514790517935283E+20</v>
      </c>
      <c r="B145" s="4">
        <f t="shared" si="20"/>
        <v>68</v>
      </c>
      <c r="C145" s="1">
        <f t="shared" si="21"/>
        <v>17179869184</v>
      </c>
      <c r="D145" s="5">
        <f t="shared" si="22"/>
        <v>2.9514790517935283E+20</v>
      </c>
      <c r="E145" s="6">
        <f t="shared" si="23"/>
        <v>2.0070057552195992E+22</v>
      </c>
      <c r="F145" s="6">
        <f t="shared" si="24"/>
        <v>5.0706024009128731E+30</v>
      </c>
      <c r="G145" s="5">
        <f t="shared" si="25"/>
        <v>8.7112285931760247E+40</v>
      </c>
      <c r="H145" s="5">
        <f t="shared" si="26"/>
        <v>2.5711008708143844E+61</v>
      </c>
      <c r="I145" s="5" t="e">
        <f t="shared" si="27"/>
        <v>#NUM!</v>
      </c>
      <c r="J145" s="5" t="e">
        <f t="shared" si="28"/>
        <v>#NUM!</v>
      </c>
    </row>
    <row r="146" spans="1:10" x14ac:dyDescent="0.35">
      <c r="A146" s="2" t="str">
        <f t="shared" si="29"/>
        <v>…</v>
      </c>
      <c r="B146" s="4" t="str">
        <f t="shared" si="20"/>
        <v/>
      </c>
      <c r="C146" s="1" t="str">
        <f t="shared" si="21"/>
        <v/>
      </c>
      <c r="D146" s="5" t="str">
        <f t="shared" si="22"/>
        <v/>
      </c>
      <c r="E146" s="6" t="str">
        <f t="shared" si="23"/>
        <v/>
      </c>
      <c r="F146" s="6" t="str">
        <f t="shared" si="24"/>
        <v/>
      </c>
      <c r="G146" s="5" t="str">
        <f t="shared" si="25"/>
        <v/>
      </c>
      <c r="H146" s="5" t="str">
        <f t="shared" si="26"/>
        <v/>
      </c>
      <c r="I146" s="5" t="str">
        <f t="shared" si="27"/>
        <v/>
      </c>
      <c r="J146" s="5" t="str">
        <f t="shared" si="28"/>
        <v/>
      </c>
    </row>
    <row r="147" spans="1:10" x14ac:dyDescent="0.35">
      <c r="A147" s="2">
        <f t="shared" si="29"/>
        <v>5.9029581035870565E+20</v>
      </c>
      <c r="B147" s="4">
        <f t="shared" ref="B147:B152" si="30">IF(A147="…","",LOG(A147,2))</f>
        <v>69</v>
      </c>
      <c r="C147" s="1">
        <f t="shared" ref="C147:C152" si="31">IF(A147="…","",A147^(1/2))</f>
        <v>24296003999.808399</v>
      </c>
      <c r="D147" s="5">
        <f t="shared" ref="D147:D152" si="32">IF(A147="…","",A147)</f>
        <v>5.9029581035870565E+20</v>
      </c>
      <c r="E147" s="6">
        <f t="shared" ref="E147:E152" si="33">IF(A147="…","",A147*LOG(A147,2))</f>
        <v>4.073041091475069E+22</v>
      </c>
      <c r="F147" s="6">
        <f t="shared" ref="F147:F152" si="34">IF(A147="…","",A147^(3/2))</f>
        <v>1.4341829369545165E+31</v>
      </c>
      <c r="G147" s="5">
        <f t="shared" ref="G147:G152" si="35">IF(A147="…","",A147^2)</f>
        <v>3.4844914372704099E+41</v>
      </c>
      <c r="H147" s="5">
        <f t="shared" ref="H147:H152" si="36">IF(A147="…","",A147^3)</f>
        <v>2.0568806966515076E+62</v>
      </c>
      <c r="I147" s="5" t="e">
        <f t="shared" ref="I147:I152" si="37">IF(A147="…","",2^A147)</f>
        <v>#NUM!</v>
      </c>
      <c r="J147" s="5" t="e">
        <f t="shared" ref="J147:J152" si="38">IF(A147="…","",FACT(A147))</f>
        <v>#NUM!</v>
      </c>
    </row>
    <row r="148" spans="1:10" x14ac:dyDescent="0.35">
      <c r="A148" s="2" t="str">
        <f t="shared" si="29"/>
        <v>…</v>
      </c>
      <c r="B148" s="4" t="str">
        <f t="shared" si="30"/>
        <v/>
      </c>
      <c r="C148" s="1" t="str">
        <f t="shared" si="31"/>
        <v/>
      </c>
      <c r="D148" s="5" t="str">
        <f t="shared" si="32"/>
        <v/>
      </c>
      <c r="E148" s="6" t="str">
        <f t="shared" si="33"/>
        <v/>
      </c>
      <c r="F148" s="6" t="str">
        <f t="shared" si="34"/>
        <v/>
      </c>
      <c r="G148" s="5" t="str">
        <f t="shared" si="35"/>
        <v/>
      </c>
      <c r="H148" s="5" t="str">
        <f t="shared" si="36"/>
        <v/>
      </c>
      <c r="I148" s="5" t="str">
        <f t="shared" si="37"/>
        <v/>
      </c>
      <c r="J148" s="5" t="str">
        <f t="shared" si="38"/>
        <v/>
      </c>
    </row>
    <row r="149" spans="1:10" x14ac:dyDescent="0.35">
      <c r="A149" s="2">
        <f t="shared" si="29"/>
        <v>1.1805916207174113E+21</v>
      </c>
      <c r="B149" s="4">
        <f t="shared" si="30"/>
        <v>70</v>
      </c>
      <c r="C149" s="1">
        <f t="shared" si="31"/>
        <v>34359738368</v>
      </c>
      <c r="D149" s="5">
        <f t="shared" si="32"/>
        <v>1.1805916207174113E+21</v>
      </c>
      <c r="E149" s="6">
        <f t="shared" si="33"/>
        <v>8.2641413450218791E+22</v>
      </c>
      <c r="F149" s="6">
        <f t="shared" si="34"/>
        <v>4.056481920730321E+31</v>
      </c>
      <c r="G149" s="5">
        <f t="shared" si="35"/>
        <v>1.3937965749081639E+42</v>
      </c>
      <c r="H149" s="5">
        <f t="shared" si="36"/>
        <v>1.645504557321206E+63</v>
      </c>
      <c r="I149" s="5" t="e">
        <f t="shared" si="37"/>
        <v>#NUM!</v>
      </c>
      <c r="J149" s="5" t="e">
        <f t="shared" si="38"/>
        <v>#NUM!</v>
      </c>
    </row>
    <row r="150" spans="1:10" x14ac:dyDescent="0.35">
      <c r="A150" s="2" t="str">
        <f t="shared" si="29"/>
        <v>…</v>
      </c>
      <c r="B150" s="4" t="str">
        <f t="shared" si="30"/>
        <v/>
      </c>
      <c r="C150" s="1" t="str">
        <f t="shared" si="31"/>
        <v/>
      </c>
      <c r="D150" s="5" t="str">
        <f t="shared" si="32"/>
        <v/>
      </c>
      <c r="E150" s="6" t="str">
        <f t="shared" si="33"/>
        <v/>
      </c>
      <c r="F150" s="6" t="str">
        <f t="shared" si="34"/>
        <v/>
      </c>
      <c r="G150" s="5" t="str">
        <f t="shared" si="35"/>
        <v/>
      </c>
      <c r="H150" s="5" t="str">
        <f t="shared" si="36"/>
        <v/>
      </c>
      <c r="I150" s="5" t="str">
        <f t="shared" si="37"/>
        <v/>
      </c>
      <c r="J150" s="5" t="str">
        <f t="shared" si="38"/>
        <v/>
      </c>
    </row>
    <row r="151" spans="1:10" x14ac:dyDescent="0.35">
      <c r="A151" s="2">
        <f t="shared" si="29"/>
        <v>2.3611832414348226E+21</v>
      </c>
      <c r="B151" s="4">
        <f t="shared" si="30"/>
        <v>71</v>
      </c>
      <c r="C151" s="1">
        <f t="shared" si="31"/>
        <v>48592007999.616798</v>
      </c>
      <c r="D151" s="5">
        <f t="shared" si="32"/>
        <v>2.3611832414348226E+21</v>
      </c>
      <c r="E151" s="6">
        <f t="shared" si="33"/>
        <v>1.6764401014187241E+23</v>
      </c>
      <c r="F151" s="6">
        <f t="shared" si="34"/>
        <v>1.1473463495636197E+32</v>
      </c>
      <c r="G151" s="5">
        <f t="shared" si="35"/>
        <v>5.5751862996326558E+42</v>
      </c>
      <c r="H151" s="5">
        <f t="shared" si="36"/>
        <v>1.3164036458569648E+64</v>
      </c>
      <c r="I151" s="5" t="e">
        <f t="shared" si="37"/>
        <v>#NUM!</v>
      </c>
      <c r="J151" s="5" t="e">
        <f t="shared" si="38"/>
        <v>#NUM!</v>
      </c>
    </row>
    <row r="152" spans="1:10" x14ac:dyDescent="0.35">
      <c r="A152" s="2" t="str">
        <f t="shared" si="29"/>
        <v>…</v>
      </c>
      <c r="B152" s="4" t="str">
        <f t="shared" si="30"/>
        <v/>
      </c>
      <c r="C152" s="1" t="str">
        <f t="shared" si="31"/>
        <v/>
      </c>
      <c r="D152" s="5" t="str">
        <f t="shared" si="32"/>
        <v/>
      </c>
      <c r="E152" s="6" t="str">
        <f t="shared" si="33"/>
        <v/>
      </c>
      <c r="F152" s="6" t="str">
        <f t="shared" si="34"/>
        <v/>
      </c>
      <c r="G152" s="5" t="str">
        <f t="shared" si="35"/>
        <v/>
      </c>
      <c r="H152" s="5" t="str">
        <f t="shared" si="36"/>
        <v/>
      </c>
      <c r="I152" s="5" t="str">
        <f t="shared" si="37"/>
        <v/>
      </c>
      <c r="J152" s="5" t="str">
        <f t="shared" si="38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Jávor Nikolett</dc:creator>
  <cp:lastModifiedBy>Jávor Nikolett</cp:lastModifiedBy>
  <dcterms:created xsi:type="dcterms:W3CDTF">2026-05-07T20:51:11Z</dcterms:created>
  <dcterms:modified xsi:type="dcterms:W3CDTF">2026-05-07T21:10:17Z</dcterms:modified>
</cp:coreProperties>
</file>